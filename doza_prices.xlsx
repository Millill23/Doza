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равнение" sheetId="1" r:id="rId5"/>
    <sheet state="visible" name="Сводка" sheetId="2" r:id="rId6"/>
  </sheets>
  <definedNames>
    <definedName hidden="1" localSheetId="0" name="_xlnm._FilterDatabase">'Сравнение'!$A$1:$W$89</definedName>
  </definedNames>
  <calcPr/>
</workbook>
</file>

<file path=xl/sharedStrings.xml><?xml version="1.0" encoding="utf-8"?>
<sst xmlns="http://schemas.openxmlformats.org/spreadsheetml/2006/main" count="128" uniqueCount="128">
  <si>
    <t>Всего позиций</t>
  </si>
  <si>
    <t>Найдено с ценами 2/4/8</t>
  </si>
  <si>
    <t>Найдено, но без 2/4/8</t>
  </si>
  <si>
    <t>Не найдено / ошибки</t>
  </si>
  <si>
    <t>Наименование</t>
  </si>
  <si>
    <t>Цена $</t>
  </si>
  <si>
    <t>Цена руб</t>
  </si>
  <si>
    <t>Объём мл</t>
  </si>
  <si>
    <t>Себестоимость руб/мл</t>
  </si>
  <si>
    <t>Vanille 2мл</t>
  </si>
  <si>
    <t>Vanille руб/мл (2)</t>
  </si>
  <si>
    <t>Vanille (2) %</t>
  </si>
  <si>
    <t>Vanille 4мл</t>
  </si>
  <si>
    <t>Vanille руб/мл (4)</t>
  </si>
  <si>
    <t>Vanille (4) %</t>
  </si>
  <si>
    <t>Vanille 8мл</t>
  </si>
  <si>
    <t>Vanille руб/мл (8)</t>
  </si>
  <si>
    <t>Vanille (8) %</t>
  </si>
  <si>
    <t>Doza 3мл</t>
  </si>
  <si>
    <t>Doza руб/мл (3)</t>
  </si>
  <si>
    <t>Doza (3) %</t>
  </si>
  <si>
    <t>Doza 5мл</t>
  </si>
  <si>
    <t>Doza руб/мл (5)</t>
  </si>
  <si>
    <t>Doza (5) %</t>
  </si>
  <si>
    <t>Doza 10мл</t>
  </si>
  <si>
    <t>Doza руб/мл (10)</t>
  </si>
  <si>
    <t>Doza (10) %</t>
  </si>
  <si>
    <t>A. BASI IN RED w EDP 100 ml красный [M]</t>
  </si>
  <si>
    <t>ARMANI Si жен парфюмерная вода 50мл</t>
  </si>
  <si>
    <t>BURBERRY WEEKEND жен парфюмерная вода 100мл</t>
  </si>
  <si>
    <t>CALVIN KLEIN IN2U муж туалетная вода 100мл</t>
  </si>
  <si>
    <t>CALVIN KLEIN EUPHORIA жен парфюмерная вода 50мл</t>
  </si>
  <si>
    <t>DOLCE &amp; GABBANA K муж парфюмерная вода 100мл</t>
  </si>
  <si>
    <t>DOLCE &amp; GABBANA THE ONE муж парфюмерная вода 100мл</t>
  </si>
  <si>
    <t>GIVENCHY ANGE OU DEMON  жен парфюмерная вода 100мл тестер</t>
  </si>
  <si>
    <t>PACO RABANNE 1 Million муж туалетная вода 100мл</t>
  </si>
  <si>
    <t>PACO RABANNE Lady Million жен парфюмерная вода 50мл</t>
  </si>
  <si>
    <t>TRUSSARDI DONNA жен парфюмерная вода 100мл</t>
  </si>
  <si>
    <t>TRUSSARDI My Name жен парфюмерная вода 50мл</t>
  </si>
  <si>
    <t>TRUSSARDI Ruby Red жен парфюмерная вода 30мл</t>
  </si>
  <si>
    <t>VERSACE Eros муж туалетная вода 50мл</t>
  </si>
  <si>
    <t>VERSACE Eros Energy муж парфюмерная вода 100мл</t>
  </si>
  <si>
    <t>27 87 Perfumes ELIXIR DE BOMBE (U) edP 87 ml. TESTER</t>
  </si>
  <si>
    <t>27 87 Perfumes HAKUNA MATATA (U) edP 87 ml. TESTER</t>
  </si>
  <si>
    <t>Bvlgari OMNIA CRYSTALLINE (L) edT 100 ml. TESTER</t>
  </si>
  <si>
    <t>Byredo BAL D`AFRIQUE (U) edP 100 ml. TESTER</t>
  </si>
  <si>
    <t>Byredo GYPSY WATER (U) edP 100 ml. TESTER</t>
  </si>
  <si>
    <t>Byredo ROSE NOIR (U) edP 100 ml. TESTER</t>
  </si>
  <si>
    <t>Calvin Klein CK ONE (M) edT 100 ml. TESTER</t>
  </si>
  <si>
    <t>Chanel COCO MADEMOISELLE (L) edP 100 ml. TESTER</t>
  </si>
  <si>
    <t>Chloe CHLOE (L) edP 75 ml. TESTER</t>
  </si>
  <si>
    <t>Chloe LOVE STORY (L) edP 75 ml. TESTER</t>
  </si>
  <si>
    <t>Escentric Molecules ESCENTRIC 02 (U) edT 100 ml. TESTER</t>
  </si>
  <si>
    <t>Escentric Molecules M+ MOLECULE 01 + IRIS (U) edT 100 ml. TESTER</t>
  </si>
  <si>
    <t>Essential Parfums BOIS IMPERIAL (U) edP 100 ml. TESTER</t>
  </si>
  <si>
    <t>Essential Parfums ORANGE X SANTAL (U) edP 100 ml. TESTER</t>
  </si>
  <si>
    <t>Ex Nihilo BLUE TALISMAN (U) edP 100 ml. TESTER</t>
  </si>
  <si>
    <t>Ex Nihilo FLEUR NARCOTIQUE EXTRAIT DE PARFUM (U) Parfum 100 ml. TESTER</t>
  </si>
  <si>
    <t>Floraiku ONE UMBRELLA FOR TWO (U) edP 50 ml. TESTER</t>
  </si>
  <si>
    <t>Franck Boclet COCAINE (U) Extrait De Parfum 100 ml. TESTER</t>
  </si>
  <si>
    <t>Franck Boclet TOBACCO (M) edP 100 ml. TESTER</t>
  </si>
  <si>
    <t>Giorgio Armani SI PASSIONE (L) edP 100 ml. TESTER</t>
  </si>
  <si>
    <t>Gucci GUCCI FLORA GORGEOUS MAGNOLIA (L) edP 100 ml. TESTER</t>
  </si>
  <si>
    <t>Hormone GABA 100 ml.</t>
  </si>
  <si>
    <t>Initio MAGNETIC BLEND 7 (U) edP 90 ml. TESTER</t>
  </si>
  <si>
    <t>Initio MUSK THERAPY (U) Extrait de Parfum 90 ml. TESTER</t>
  </si>
  <si>
    <t>Initio NARCOTIC DELIGHT (U) edP 90 ml. TESTER</t>
  </si>
  <si>
    <t>Initio PSYCHEDELIC LOVE (U) edP 90 ml. TESTER</t>
  </si>
  <si>
    <t>Kilian ANGELS` SHARE (L) edP 100 ml.</t>
  </si>
  <si>
    <t>Kilian BLACK PHANTOM (U) edP 100 ml.</t>
  </si>
  <si>
    <t>Kilian GOOD GIRL GONE BAD (L) edP 50 ml.</t>
  </si>
  <si>
    <t>Les Soeurs De Noe CITRUS POETRY (U) edP 100 ml.</t>
  </si>
  <si>
    <t>Louis Vuitton IMAGINATION 100 ml. TESTER</t>
  </si>
  <si>
    <t>Louis Vuitton PACIFIC CHILL 100 ml.</t>
  </si>
  <si>
    <t>Maison Francis Kurkdjian BACCARAT ROUGE 540 (L) edP 200 ml. TESTER</t>
  </si>
  <si>
    <t>Maison Francis Kurkdjian GRAND SOIR (U) edP 70 ml.</t>
  </si>
  <si>
    <t>Maison Francis Kurkdjian OUD (U) edP 70 ml. TESTER</t>
  </si>
  <si>
    <t>Marc-Antoine Barrois GANYMEDE edP 100 ml. TESTER</t>
  </si>
  <si>
    <t>Marc-Antoine Barrois TILIA edP 100 ml. TESTER</t>
  </si>
  <si>
    <t>Max Philip MANDARIN edP 100 ml.</t>
  </si>
  <si>
    <t>Montale OUDMAZING (L) edP 100 ml. TESTER</t>
  </si>
  <si>
    <t>Narciso Rodriguez FOR HER MUSC NUDE (L) edP 100 ml. TESTER</t>
  </si>
  <si>
    <t>Orlov DE YOUNG RED edP 75 ml. TESTER</t>
  </si>
  <si>
    <t>Thomas Kosmala № 4 APRES L'AMOUR (U) edP 240 ml.</t>
  </si>
  <si>
    <t>Tiziana Terenzi ANDROMEDA (U) Extrait de Parfum 100 ml. TESTER</t>
  </si>
  <si>
    <t>Tiziana Terenzi KIRKE (U) Extrait de Parfum 100 ml. TESTER</t>
  </si>
  <si>
    <t>Tom Ford BLACK ORCHID (L) edP 100 ml. TESTER</t>
  </si>
  <si>
    <t>Tom Ford VANILLA SEX (U) edP 100 ml.</t>
  </si>
  <si>
    <t>Trussardi Le Vie di Milano APERITIVO MILANESE PORTA NUOVA edP 100 ml. TESTER</t>
  </si>
  <si>
    <t>Vilhelm Parfumerie MANGO SKIN (U) edP 100 ml.</t>
  </si>
  <si>
    <t>Vilhelm Parfumerie ROOM SERVICE (L) edP 100 ml. TESTER</t>
  </si>
  <si>
    <t>Zarkoperfume PINK MOLeCULE 090.09 (U) edP 100 ml. TESTER</t>
  </si>
  <si>
    <t>Zarkoperfume SENDING LOVE edP 100 ml. TESTER</t>
  </si>
  <si>
    <t>Zarkoperfume THE MUSE (U) edP 100 ml. TESTER</t>
  </si>
  <si>
    <t>Bybozo Habibi edp test 75ml</t>
  </si>
  <si>
    <t>CHANEL №5 lady test 100ml edp</t>
  </si>
  <si>
    <t>Essential The Musc 100ml edp</t>
  </si>
  <si>
    <t>TOM FORD Ombre Leather PARFUM tester  100ml</t>
  </si>
  <si>
    <t>Vilhelm Parfumerie Chimilka test 100ml edP</t>
  </si>
  <si>
    <t>Vilhelm Parfumerie Morning Chess test 100edp</t>
  </si>
  <si>
    <t>Xerjoff Sospiro Erba Pura edp 100ml test</t>
  </si>
  <si>
    <t>Armani Acqua Di Gio Man 100ml edt  TESTER</t>
  </si>
  <si>
    <t>CK  One Shock Her 100ml edt   TESTER</t>
  </si>
  <si>
    <t>D&amp;G Dolce&amp;Gabbana "Q" Intense 100ml edp TEST</t>
  </si>
  <si>
    <t>D&amp;G №3 Limperatrice 100ml edt  TESTER</t>
  </si>
  <si>
    <t>Franck Boclet Vanille 100ml edp</t>
  </si>
  <si>
    <t>Gucci By Gucci Flora Gorgeous Gardenia  Lady 100ml edp  TESTER</t>
  </si>
  <si>
    <t>Jo Malone Wood Sage &amp; Sea Salt Cologne 100ml</t>
  </si>
  <si>
    <t>Montale Chocolate Greedy 100ml edp  TESTER</t>
  </si>
  <si>
    <t>Montale Vanilla Cake 100ml edp 18'  TESTER</t>
  </si>
  <si>
    <t>Tom Ford Oud Wood 100ml edp</t>
  </si>
  <si>
    <t>Versace Bright Crystal  90ml edt   TESTER С Крышкой</t>
  </si>
  <si>
    <t>YSL Opium Black   90ml edp spray  TESTER</t>
  </si>
  <si>
    <t>A. BASI IN BLUE edt</t>
  </si>
  <si>
    <t>DOLCE &amp; GABBANA Dolce Shine edp</t>
  </si>
  <si>
    <t>BOSS BOTTLED Night edt</t>
  </si>
  <si>
    <t>HUGO BOSS edt</t>
  </si>
  <si>
    <t>PACO RABANNE INVICTUS edt</t>
  </si>
  <si>
    <t>TRUSSARDI Black Extreme edt</t>
  </si>
  <si>
    <t>Byredo BLANCHE edP</t>
  </si>
  <si>
    <t>Chanel ALLURE SPORT edt</t>
  </si>
  <si>
    <t>Chloe Atelier des Fleurs CEDRUS edp</t>
  </si>
  <si>
    <t>Franck Boclet SUGAR edp</t>
  </si>
  <si>
    <t>Jo Malone BLACKBERRY &amp; BAY</t>
  </si>
  <si>
    <t>Memo MADURAI edp</t>
  </si>
  <si>
    <t>Memo MARFA edp</t>
  </si>
  <si>
    <t>Zadig &amp; Voltaire THIS IS HER! edp</t>
  </si>
  <si>
    <t>Zadig &amp; Voltaire THIS IS HIM! edt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</si>
</sst>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&quot;%&quot;"/>
  </numFmts>
  <fonts count="4">
    <font>
      <sz val="11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  <fill>
      <patternFill patternType="solid">
        <fgColor rgb="FFCFE2F3"/>
        <bgColor rgb="FFCFE2F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0" fontId="3" numFmtId="0" xfId="0" applyBorder="1" applyFont="1"/>
    <xf borderId="1" fillId="0" fontId="3" numFmtId="2" xfId="0" applyBorder="1" applyFont="1" applyNumberFormat="1"/>
    <xf borderId="1" fillId="4" fontId="3" numFmtId="164" xfId="0" applyBorder="1" applyFill="1" applyFont="1" applyNumberFormat="1"/>
    <xf borderId="1" fillId="0" fontId="3" numFmtId="2" xfId="0" applyAlignment="1" applyBorder="1" applyFont="1" applyNumberFormat="1">
      <alignment readingOrder="0"/>
    </xf>
    <xf borderId="1" fillId="5" fontId="3" numFmtId="164" xfId="0" applyBorder="1" applyFill="1" applyFont="1" applyNumberFormat="1"/>
    <xf borderId="1" fillId="6" fontId="1" numFmtId="0" xfId="0" applyAlignment="1" applyBorder="1" applyFill="1" applyFont="1">
      <alignment readingOrder="0"/>
    </xf>
    <xf borderId="1" fillId="6" fontId="1" numFmtId="0" xfId="0" applyBorder="1" applyFill="1" applyFont="1"/>
    <xf borderId="1" fillId="6" fontId="3" numFmtId="0" xfId="0" applyAlignment="1" applyBorder="1" applyFill="1" applyFont="1">
      <alignment readingOrder="0"/>
    </xf>
    <xf borderId="1" fillId="6" fontId="3" numFmtId="2" xfId="0" applyBorder="1" applyFill="1" applyFont="1" applyNumberFormat="1"/>
    <xf borderId="0" fillId="6" fontId="1" numFmtId="0" xfId="0" applyFill="1" applyFont="1"/>
    <xf borderId="1" fillId="0" fontId="1" numFmtId="0" xfId="0" applyAlignment="1" applyBorder="1" applyFont="1">
      <alignment readingOrder="0"/>
    </xf>
    <xf borderId="1" fillId="0" fontId="1" numFmtId="0" xfId="0" applyBorder="1" applyFont="1"/>
    <xf borderId="1" fillId="0" fontId="3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2" fillId="0" fontId="1" numFmtId="0" xfId="0" applyBorder="1" applyFont="1"/>
    <xf borderId="2" fillId="0" fontId="3" numFmtId="2" xfId="0" applyBorder="1" applyFont="1" applyNumberFormat="1"/>
    <xf borderId="3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55.0"/>
    <col customWidth="1" min="2" max="2" width="10.0"/>
    <col customWidth="1" min="3" max="3" width="11.0"/>
    <col customWidth="1" min="4" max="4" width="10.0"/>
    <col customWidth="1" min="5" max="5" width="23.86"/>
    <col customWidth="1" min="6" max="6" width="12.0"/>
    <col customWidth="1" min="7" max="7" width="14.0"/>
    <col customWidth="1" min="8" max="9" width="12.0"/>
    <col customWidth="1" min="10" max="10" width="14.0"/>
    <col customWidth="1" min="11" max="12" width="12.0"/>
    <col customWidth="1" min="13" max="13" width="14.0"/>
    <col customWidth="1" min="14" max="14" width="12.0"/>
    <col customWidth="1" min="15" max="15" width="11.0"/>
    <col customWidth="1" min="16" max="16" width="14.0"/>
    <col customWidth="1" min="17" max="17" width="12.0"/>
    <col customWidth="1" min="18" max="18" width="11.0"/>
    <col customWidth="1" min="19" max="19" width="14.0"/>
    <col customWidth="1" min="20" max="21" width="12.0"/>
    <col customWidth="1" min="22" max="22" width="15.0"/>
    <col customWidth="1" min="23" max="23" width="13.0"/>
    <col customWidth="1" min="24" max="26" width="8.71"/>
  </cols>
  <sheetData>
    <row r="1" ht="59.25" customHeight="1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</row>
    <row r="2">
      <c r="A2" s="4" t="s">
        <v>27</v>
      </c>
      <c r="B2" s="4">
        <v>48.53</v>
      </c>
      <c r="C2" s="4">
        <v>140.45</v>
      </c>
      <c r="D2" s="4">
        <v>100.0</v>
      </c>
      <c r="E2" s="5">
        <f t="shared" ref="E2:E87" si="1">IF(OR(D2="",D2=0),"",ROUND(C2/D2,2))</f>
        <v>1.4</v>
      </c>
      <c r="F2" s="5">
        <v>12.3</v>
      </c>
      <c r="G2" s="5">
        <f t="shared" ref="G2:G87" si="2">IF(F2="","",ROUND(F2/2,2))</f>
        <v>6.15</v>
      </c>
      <c r="H2" s="6">
        <f t="shared" ref="H2:H87" si="3">IF(OR(E2="",E2=0,G2=""),"",ROUND((G2/E2-1)*100,1))</f>
        <v>339.3</v>
      </c>
      <c r="I2" s="5">
        <v>21.7</v>
      </c>
      <c r="J2" s="5">
        <f t="shared" ref="J2:J87" si="4">IF(I2="","",ROUND(I2/4,2))</f>
        <v>5.43</v>
      </c>
      <c r="K2" s="6">
        <f t="shared" ref="K2:K87" si="5">IF(OR(E2="",E2=0,J2=""),"",ROUND((J2/E2-1)*100,1))</f>
        <v>287.9</v>
      </c>
      <c r="L2" s="5">
        <v>31.5</v>
      </c>
      <c r="M2" s="5">
        <f t="shared" ref="M2:M87" si="6">IF(L2="","",ROUND(L2/8,2))</f>
        <v>3.94</v>
      </c>
      <c r="N2" s="6">
        <f t="shared" ref="N2:N87" si="7">IF(OR(E2="",E2=0,M2=""),"",ROUND((M2/E2-1)*100,1))</f>
        <v>181.4</v>
      </c>
      <c r="O2" s="7">
        <v>12.0</v>
      </c>
      <c r="P2" s="5">
        <f t="shared" ref="P2:P87" si="8">IF(O2="","",ROUND(O2/3,2))</f>
        <v>4</v>
      </c>
      <c r="Q2" s="8">
        <f t="shared" ref="Q2:Q87" si="9">IF(OR(E2="",E2=0,P2=""),"",ROUND((P2/E2-1)*100,1))</f>
        <v>185.7</v>
      </c>
      <c r="R2" s="7">
        <v>18.0</v>
      </c>
      <c r="S2" s="5">
        <f t="shared" ref="S2:S87" si="10">IF(R2="","",ROUND(R2/5,2))</f>
        <v>3.6</v>
      </c>
      <c r="T2" s="8">
        <f t="shared" ref="T2:T87" si="11">IF(OR(E2="",E2=0,S2=""),"",ROUND((S2/E2-1)*100,1))</f>
        <v>157.1</v>
      </c>
      <c r="U2" s="7">
        <v>33.0</v>
      </c>
      <c r="V2" s="5">
        <f t="shared" ref="V2:V87" si="12">IF(U2="","",ROUND(U2/10,2))</f>
        <v>3.3</v>
      </c>
      <c r="W2" s="8">
        <f t="shared" ref="W2:W87" si="13">IF(OR(E2="",E2=0,V2=""),"",ROUND((V2/E2-1)*100,1))</f>
        <v>135.7</v>
      </c>
    </row>
    <row r="3">
      <c r="A3" s="4" t="s">
        <v>28</v>
      </c>
      <c r="B3" s="4">
        <v>136.89</v>
      </c>
      <c r="C3" s="4">
        <v>396.14</v>
      </c>
      <c r="D3" s="4">
        <v>50.0</v>
      </c>
      <c r="E3" s="5">
        <f t="shared" si="1"/>
        <v>7.92</v>
      </c>
      <c r="F3" s="5">
        <v>14.55</v>
      </c>
      <c r="G3" s="5">
        <f t="shared" si="2"/>
        <v>7.28</v>
      </c>
      <c r="H3" s="6">
        <f t="shared" si="3"/>
        <v>-8.1</v>
      </c>
      <c r="I3" s="5">
        <v>26.16</v>
      </c>
      <c r="J3" s="5">
        <f t="shared" si="4"/>
        <v>6.54</v>
      </c>
      <c r="K3" s="6">
        <f t="shared" si="5"/>
        <v>-17.4</v>
      </c>
      <c r="L3" s="5">
        <v>40.54</v>
      </c>
      <c r="M3" s="5">
        <f t="shared" si="6"/>
        <v>5.07</v>
      </c>
      <c r="N3" s="6">
        <f t="shared" si="7"/>
        <v>-36</v>
      </c>
      <c r="O3" s="7">
        <v>55.0</v>
      </c>
      <c r="P3" s="5">
        <f t="shared" si="8"/>
        <v>18.33</v>
      </c>
      <c r="Q3" s="8">
        <f t="shared" si="9"/>
        <v>131.4</v>
      </c>
      <c r="R3" s="7">
        <v>85.0</v>
      </c>
      <c r="S3" s="5">
        <f t="shared" si="10"/>
        <v>17</v>
      </c>
      <c r="T3" s="8">
        <f t="shared" si="11"/>
        <v>114.6</v>
      </c>
      <c r="U3" s="7">
        <v>150.0</v>
      </c>
      <c r="V3" s="5">
        <f t="shared" si="12"/>
        <v>15</v>
      </c>
      <c r="W3" s="8">
        <f t="shared" si="13"/>
        <v>89.4</v>
      </c>
    </row>
    <row r="4">
      <c r="A4" s="4" t="s">
        <v>29</v>
      </c>
      <c r="B4" s="4">
        <v>66.16</v>
      </c>
      <c r="C4" s="4">
        <v>191.45</v>
      </c>
      <c r="D4" s="4">
        <v>100.0</v>
      </c>
      <c r="E4" s="5">
        <f t="shared" si="1"/>
        <v>1.91</v>
      </c>
      <c r="F4" s="5">
        <v>12.26</v>
      </c>
      <c r="G4" s="5">
        <f t="shared" si="2"/>
        <v>6.13</v>
      </c>
      <c r="H4" s="6">
        <f t="shared" si="3"/>
        <v>220.9</v>
      </c>
      <c r="I4" s="5">
        <v>21.56</v>
      </c>
      <c r="J4" s="5">
        <f t="shared" si="4"/>
        <v>5.39</v>
      </c>
      <c r="K4" s="6">
        <f t="shared" si="5"/>
        <v>182.2</v>
      </c>
      <c r="L4" s="5">
        <v>31.35</v>
      </c>
      <c r="M4" s="5">
        <f t="shared" si="6"/>
        <v>3.92</v>
      </c>
      <c r="N4" s="6">
        <f t="shared" si="7"/>
        <v>105.2</v>
      </c>
      <c r="O4" s="7">
        <v>15.0</v>
      </c>
      <c r="P4" s="5">
        <f t="shared" si="8"/>
        <v>5</v>
      </c>
      <c r="Q4" s="8">
        <f t="shared" si="9"/>
        <v>161.8</v>
      </c>
      <c r="R4" s="7">
        <v>23.0</v>
      </c>
      <c r="S4" s="5">
        <f t="shared" si="10"/>
        <v>4.6</v>
      </c>
      <c r="T4" s="8">
        <f t="shared" si="11"/>
        <v>140.8</v>
      </c>
      <c r="U4" s="7">
        <v>41.0</v>
      </c>
      <c r="V4" s="5">
        <f t="shared" si="12"/>
        <v>4.1</v>
      </c>
      <c r="W4" s="8">
        <f t="shared" si="13"/>
        <v>114.7</v>
      </c>
    </row>
    <row r="5">
      <c r="A5" s="4" t="s">
        <v>30</v>
      </c>
      <c r="B5" s="4">
        <v>38.67</v>
      </c>
      <c r="C5" s="4">
        <v>111.91</v>
      </c>
      <c r="D5" s="4">
        <v>100.0</v>
      </c>
      <c r="E5" s="5">
        <f t="shared" si="1"/>
        <v>1.12</v>
      </c>
      <c r="F5" s="5">
        <v>11.02</v>
      </c>
      <c r="G5" s="5">
        <f t="shared" si="2"/>
        <v>5.51</v>
      </c>
      <c r="H5" s="6">
        <f t="shared" si="3"/>
        <v>392</v>
      </c>
      <c r="I5" s="5">
        <v>19.09</v>
      </c>
      <c r="J5" s="5">
        <f t="shared" si="4"/>
        <v>4.77</v>
      </c>
      <c r="K5" s="6">
        <f t="shared" si="5"/>
        <v>325.9</v>
      </c>
      <c r="L5" s="5">
        <v>26.4</v>
      </c>
      <c r="M5" s="5">
        <f t="shared" si="6"/>
        <v>3.3</v>
      </c>
      <c r="N5" s="6">
        <f t="shared" si="7"/>
        <v>194.6</v>
      </c>
      <c r="O5" s="7">
        <v>12.0</v>
      </c>
      <c r="P5" s="5">
        <f t="shared" si="8"/>
        <v>4</v>
      </c>
      <c r="Q5" s="8">
        <f t="shared" si="9"/>
        <v>257.1</v>
      </c>
      <c r="R5" s="7">
        <v>18.0</v>
      </c>
      <c r="S5" s="5">
        <f t="shared" si="10"/>
        <v>3.6</v>
      </c>
      <c r="T5" s="8">
        <f t="shared" si="11"/>
        <v>221.4</v>
      </c>
      <c r="U5" s="7">
        <v>32.0</v>
      </c>
      <c r="V5" s="5">
        <f t="shared" si="12"/>
        <v>3.2</v>
      </c>
      <c r="W5" s="8">
        <f t="shared" si="13"/>
        <v>185.7</v>
      </c>
    </row>
    <row r="6">
      <c r="A6" s="4" t="s">
        <v>31</v>
      </c>
      <c r="B6" s="4">
        <v>53.0</v>
      </c>
      <c r="C6" s="4">
        <v>153.36</v>
      </c>
      <c r="D6" s="4">
        <v>50.0</v>
      </c>
      <c r="E6" s="5">
        <f t="shared" si="1"/>
        <v>3.07</v>
      </c>
      <c r="F6" s="5">
        <v>13.5</v>
      </c>
      <c r="G6" s="5">
        <f t="shared" si="2"/>
        <v>6.75</v>
      </c>
      <c r="H6" s="6">
        <f t="shared" si="3"/>
        <v>119.9</v>
      </c>
      <c r="I6" s="5">
        <v>24.0</v>
      </c>
      <c r="J6" s="5">
        <f t="shared" si="4"/>
        <v>6</v>
      </c>
      <c r="K6" s="6">
        <f t="shared" si="5"/>
        <v>95.4</v>
      </c>
      <c r="L6" s="5">
        <v>36.3</v>
      </c>
      <c r="M6" s="5">
        <f t="shared" si="6"/>
        <v>4.54</v>
      </c>
      <c r="N6" s="6">
        <f t="shared" si="7"/>
        <v>47.9</v>
      </c>
      <c r="O6" s="7">
        <v>25.0</v>
      </c>
      <c r="P6" s="5">
        <f t="shared" si="8"/>
        <v>8.33</v>
      </c>
      <c r="Q6" s="8">
        <f t="shared" si="9"/>
        <v>171.3</v>
      </c>
      <c r="R6" s="7">
        <v>40.0</v>
      </c>
      <c r="S6" s="5">
        <f t="shared" si="10"/>
        <v>8</v>
      </c>
      <c r="T6" s="8">
        <f t="shared" si="11"/>
        <v>160.6</v>
      </c>
      <c r="U6" s="7">
        <v>72.0</v>
      </c>
      <c r="V6" s="5">
        <f t="shared" si="12"/>
        <v>7.2</v>
      </c>
      <c r="W6" s="8">
        <f t="shared" si="13"/>
        <v>134.5</v>
      </c>
    </row>
    <row r="7">
      <c r="A7" s="4" t="s">
        <v>32</v>
      </c>
      <c r="B7" s="4">
        <v>98.59</v>
      </c>
      <c r="C7" s="4">
        <v>285.29</v>
      </c>
      <c r="D7" s="4">
        <v>100.0</v>
      </c>
      <c r="E7" s="5">
        <f t="shared" si="1"/>
        <v>2.85</v>
      </c>
      <c r="F7" s="5">
        <v>11.9</v>
      </c>
      <c r="G7" s="5">
        <f t="shared" si="2"/>
        <v>5.95</v>
      </c>
      <c r="H7" s="6">
        <f t="shared" si="3"/>
        <v>108.8</v>
      </c>
      <c r="I7" s="5">
        <v>20.86</v>
      </c>
      <c r="J7" s="5">
        <f t="shared" si="4"/>
        <v>5.22</v>
      </c>
      <c r="K7" s="6">
        <f t="shared" si="5"/>
        <v>83.2</v>
      </c>
      <c r="L7" s="5">
        <v>29.93</v>
      </c>
      <c r="M7" s="5">
        <f t="shared" si="6"/>
        <v>3.74</v>
      </c>
      <c r="N7" s="6">
        <f t="shared" si="7"/>
        <v>31.2</v>
      </c>
      <c r="O7" s="7">
        <v>25.0</v>
      </c>
      <c r="P7" s="5">
        <f t="shared" si="8"/>
        <v>8.33</v>
      </c>
      <c r="Q7" s="8">
        <f t="shared" si="9"/>
        <v>192.3</v>
      </c>
      <c r="R7" s="7">
        <v>40.0</v>
      </c>
      <c r="S7" s="5">
        <f t="shared" si="10"/>
        <v>8</v>
      </c>
      <c r="T7" s="8">
        <f t="shared" si="11"/>
        <v>180.7</v>
      </c>
      <c r="U7" s="7">
        <v>72.0</v>
      </c>
      <c r="V7" s="5">
        <f t="shared" si="12"/>
        <v>7.2</v>
      </c>
      <c r="W7" s="8">
        <f t="shared" si="13"/>
        <v>152.6</v>
      </c>
    </row>
    <row r="8">
      <c r="A8" s="4" t="s">
        <v>33</v>
      </c>
      <c r="B8" s="4">
        <v>99.46</v>
      </c>
      <c r="C8" s="4">
        <v>287.81</v>
      </c>
      <c r="D8" s="4">
        <v>100.0</v>
      </c>
      <c r="E8" s="5">
        <f t="shared" si="1"/>
        <v>2.88</v>
      </c>
      <c r="F8" s="5">
        <v>13.37</v>
      </c>
      <c r="G8" s="5">
        <f t="shared" si="2"/>
        <v>6.69</v>
      </c>
      <c r="H8" s="6">
        <f t="shared" si="3"/>
        <v>132.3</v>
      </c>
      <c r="I8" s="5">
        <v>23.8</v>
      </c>
      <c r="J8" s="5">
        <f t="shared" si="4"/>
        <v>5.95</v>
      </c>
      <c r="K8" s="6">
        <f t="shared" si="5"/>
        <v>106.6</v>
      </c>
      <c r="L8" s="5">
        <v>35.82</v>
      </c>
      <c r="M8" s="5">
        <f t="shared" si="6"/>
        <v>4.48</v>
      </c>
      <c r="N8" s="6">
        <f t="shared" si="7"/>
        <v>55.6</v>
      </c>
      <c r="O8" s="7">
        <v>25.0</v>
      </c>
      <c r="P8" s="5">
        <f t="shared" si="8"/>
        <v>8.33</v>
      </c>
      <c r="Q8" s="8">
        <f t="shared" si="9"/>
        <v>189.2</v>
      </c>
      <c r="R8" s="7">
        <v>40.0</v>
      </c>
      <c r="S8" s="5">
        <f t="shared" si="10"/>
        <v>8</v>
      </c>
      <c r="T8" s="8">
        <f t="shared" si="11"/>
        <v>177.8</v>
      </c>
      <c r="U8" s="7">
        <v>72.0</v>
      </c>
      <c r="V8" s="5">
        <f t="shared" si="12"/>
        <v>7.2</v>
      </c>
      <c r="W8" s="8">
        <f t="shared" si="13"/>
        <v>150</v>
      </c>
    </row>
    <row r="9">
      <c r="A9" s="4" t="s">
        <v>34</v>
      </c>
      <c r="B9" s="4">
        <v>84.99</v>
      </c>
      <c r="C9" s="4">
        <v>245.93</v>
      </c>
      <c r="D9" s="4">
        <v>100.0</v>
      </c>
      <c r="E9" s="5">
        <f t="shared" si="1"/>
        <v>2.46</v>
      </c>
      <c r="F9" s="5">
        <v>12.96</v>
      </c>
      <c r="G9" s="5">
        <f t="shared" si="2"/>
        <v>6.48</v>
      </c>
      <c r="H9" s="6">
        <f t="shared" si="3"/>
        <v>163.4</v>
      </c>
      <c r="I9" s="5">
        <v>22.98</v>
      </c>
      <c r="J9" s="5">
        <f t="shared" si="4"/>
        <v>5.75</v>
      </c>
      <c r="K9" s="6">
        <f t="shared" si="5"/>
        <v>133.7</v>
      </c>
      <c r="L9" s="5">
        <v>34.17</v>
      </c>
      <c r="M9" s="5">
        <f t="shared" si="6"/>
        <v>4.27</v>
      </c>
      <c r="N9" s="6">
        <f t="shared" si="7"/>
        <v>73.6</v>
      </c>
      <c r="O9" s="7">
        <v>22.0</v>
      </c>
      <c r="P9" s="5">
        <f t="shared" si="8"/>
        <v>7.33</v>
      </c>
      <c r="Q9" s="8">
        <f t="shared" si="9"/>
        <v>198</v>
      </c>
      <c r="R9" s="7">
        <v>32.0</v>
      </c>
      <c r="S9" s="5">
        <f t="shared" si="10"/>
        <v>6.4</v>
      </c>
      <c r="T9" s="8">
        <f t="shared" si="11"/>
        <v>160.2</v>
      </c>
      <c r="U9" s="7">
        <v>55.0</v>
      </c>
      <c r="V9" s="5">
        <f t="shared" si="12"/>
        <v>5.5</v>
      </c>
      <c r="W9" s="8">
        <f t="shared" si="13"/>
        <v>123.6</v>
      </c>
    </row>
    <row r="10">
      <c r="A10" s="4" t="s">
        <v>35</v>
      </c>
      <c r="B10" s="4">
        <v>113.14</v>
      </c>
      <c r="C10" s="4">
        <v>327.4</v>
      </c>
      <c r="D10" s="4">
        <v>100.0</v>
      </c>
      <c r="E10" s="5">
        <f t="shared" si="1"/>
        <v>3.27</v>
      </c>
      <c r="F10" s="5">
        <v>12.84</v>
      </c>
      <c r="G10" s="5">
        <f t="shared" si="2"/>
        <v>6.42</v>
      </c>
      <c r="H10" s="6">
        <f t="shared" si="3"/>
        <v>96.3</v>
      </c>
      <c r="I10" s="5">
        <v>22.74</v>
      </c>
      <c r="J10" s="5">
        <f t="shared" si="4"/>
        <v>5.69</v>
      </c>
      <c r="K10" s="6">
        <f t="shared" si="5"/>
        <v>74</v>
      </c>
      <c r="L10" s="5">
        <v>33.7</v>
      </c>
      <c r="M10" s="5">
        <f t="shared" si="6"/>
        <v>4.21</v>
      </c>
      <c r="N10" s="6">
        <f t="shared" si="7"/>
        <v>28.7</v>
      </c>
      <c r="O10" s="7">
        <v>25.0</v>
      </c>
      <c r="P10" s="5">
        <f t="shared" si="8"/>
        <v>8.33</v>
      </c>
      <c r="Q10" s="8">
        <f t="shared" si="9"/>
        <v>154.7</v>
      </c>
      <c r="R10" s="7">
        <v>40.0</v>
      </c>
      <c r="S10" s="5">
        <f t="shared" si="10"/>
        <v>8</v>
      </c>
      <c r="T10" s="8">
        <f t="shared" si="11"/>
        <v>144.6</v>
      </c>
      <c r="U10" s="7">
        <v>72.0</v>
      </c>
      <c r="V10" s="5">
        <f t="shared" si="12"/>
        <v>7.2</v>
      </c>
      <c r="W10" s="8">
        <f t="shared" si="13"/>
        <v>120.2</v>
      </c>
    </row>
    <row r="11">
      <c r="A11" s="4" t="s">
        <v>36</v>
      </c>
      <c r="B11" s="4">
        <v>111.38</v>
      </c>
      <c r="C11" s="4">
        <v>322.3</v>
      </c>
      <c r="D11" s="4">
        <v>50.0</v>
      </c>
      <c r="E11" s="5">
        <f t="shared" si="1"/>
        <v>6.45</v>
      </c>
      <c r="F11" s="5">
        <v>13.79</v>
      </c>
      <c r="G11" s="5">
        <f t="shared" si="2"/>
        <v>6.9</v>
      </c>
      <c r="H11" s="6">
        <f t="shared" si="3"/>
        <v>7</v>
      </c>
      <c r="I11" s="5">
        <v>24.63</v>
      </c>
      <c r="J11" s="5">
        <f t="shared" si="4"/>
        <v>6.16</v>
      </c>
      <c r="K11" s="6">
        <f t="shared" si="5"/>
        <v>-4.5</v>
      </c>
      <c r="L11" s="5">
        <v>37.47</v>
      </c>
      <c r="M11" s="5">
        <f t="shared" si="6"/>
        <v>4.68</v>
      </c>
      <c r="N11" s="6">
        <f t="shared" si="7"/>
        <v>-27.4</v>
      </c>
      <c r="O11" s="7">
        <v>45.0</v>
      </c>
      <c r="P11" s="5">
        <f t="shared" si="8"/>
        <v>15</v>
      </c>
      <c r="Q11" s="8">
        <f t="shared" si="9"/>
        <v>132.6</v>
      </c>
      <c r="R11" s="7">
        <v>70.0</v>
      </c>
      <c r="S11" s="5">
        <f t="shared" si="10"/>
        <v>14</v>
      </c>
      <c r="T11" s="8">
        <f t="shared" si="11"/>
        <v>117.1</v>
      </c>
      <c r="U11" s="7">
        <v>120.0</v>
      </c>
      <c r="V11" s="5">
        <f t="shared" si="12"/>
        <v>12</v>
      </c>
      <c r="W11" s="8">
        <f t="shared" si="13"/>
        <v>86</v>
      </c>
    </row>
    <row r="12">
      <c r="A12" s="4" t="s">
        <v>37</v>
      </c>
      <c r="B12" s="4">
        <v>73.85</v>
      </c>
      <c r="C12" s="4">
        <v>213.71</v>
      </c>
      <c r="D12" s="4">
        <v>100.0</v>
      </c>
      <c r="E12" s="5">
        <f t="shared" si="1"/>
        <v>2.14</v>
      </c>
      <c r="F12" s="5">
        <v>12.1</v>
      </c>
      <c r="G12" s="5">
        <f t="shared" si="2"/>
        <v>6.05</v>
      </c>
      <c r="H12" s="6">
        <f t="shared" si="3"/>
        <v>182.7</v>
      </c>
      <c r="I12" s="5">
        <v>21.2</v>
      </c>
      <c r="J12" s="5">
        <f t="shared" si="4"/>
        <v>5.3</v>
      </c>
      <c r="K12" s="6">
        <f t="shared" si="5"/>
        <v>147.7</v>
      </c>
      <c r="L12" s="5">
        <v>30.6</v>
      </c>
      <c r="M12" s="5">
        <f t="shared" si="6"/>
        <v>3.83</v>
      </c>
      <c r="N12" s="6">
        <f t="shared" si="7"/>
        <v>79</v>
      </c>
      <c r="O12" s="7">
        <v>13.0</v>
      </c>
      <c r="P12" s="5">
        <f t="shared" si="8"/>
        <v>4.33</v>
      </c>
      <c r="Q12" s="8">
        <f t="shared" si="9"/>
        <v>102.3</v>
      </c>
      <c r="R12" s="7">
        <v>21.0</v>
      </c>
      <c r="S12" s="5">
        <f t="shared" si="10"/>
        <v>4.2</v>
      </c>
      <c r="T12" s="8">
        <f t="shared" si="11"/>
        <v>96.3</v>
      </c>
      <c r="U12" s="7">
        <v>38.0</v>
      </c>
      <c r="V12" s="5">
        <f t="shared" si="12"/>
        <v>3.8</v>
      </c>
      <c r="W12" s="8">
        <f t="shared" si="13"/>
        <v>77.6</v>
      </c>
    </row>
    <row r="13">
      <c r="A13" s="4" t="s">
        <v>38</v>
      </c>
      <c r="B13" s="4">
        <v>49.16</v>
      </c>
      <c r="C13" s="4">
        <v>142.25</v>
      </c>
      <c r="D13" s="4">
        <v>50.0</v>
      </c>
      <c r="E13" s="5">
        <f t="shared" si="1"/>
        <v>2.85</v>
      </c>
      <c r="F13" s="5">
        <v>12.4</v>
      </c>
      <c r="G13" s="5">
        <f t="shared" si="2"/>
        <v>6.2</v>
      </c>
      <c r="H13" s="6">
        <f t="shared" si="3"/>
        <v>117.5</v>
      </c>
      <c r="I13" s="5">
        <v>21.8</v>
      </c>
      <c r="J13" s="5">
        <f t="shared" si="4"/>
        <v>5.45</v>
      </c>
      <c r="K13" s="6">
        <f t="shared" si="5"/>
        <v>91.2</v>
      </c>
      <c r="L13" s="5">
        <v>31.8</v>
      </c>
      <c r="M13" s="5">
        <f t="shared" si="6"/>
        <v>3.98</v>
      </c>
      <c r="N13" s="6">
        <f t="shared" si="7"/>
        <v>39.6</v>
      </c>
      <c r="O13" s="7">
        <v>25.0</v>
      </c>
      <c r="P13" s="5">
        <f t="shared" si="8"/>
        <v>8.33</v>
      </c>
      <c r="Q13" s="8">
        <f t="shared" si="9"/>
        <v>192.3</v>
      </c>
      <c r="R13" s="7">
        <v>40.0</v>
      </c>
      <c r="S13" s="5">
        <f t="shared" si="10"/>
        <v>8</v>
      </c>
      <c r="T13" s="8">
        <f t="shared" si="11"/>
        <v>180.7</v>
      </c>
      <c r="U13" s="7">
        <v>72.0</v>
      </c>
      <c r="V13" s="5">
        <f t="shared" si="12"/>
        <v>7.2</v>
      </c>
      <c r="W13" s="8">
        <f t="shared" si="13"/>
        <v>152.6</v>
      </c>
    </row>
    <row r="14">
      <c r="A14" s="4" t="s">
        <v>39</v>
      </c>
      <c r="B14" s="4">
        <v>36.46</v>
      </c>
      <c r="C14" s="4">
        <v>105.5</v>
      </c>
      <c r="D14" s="4">
        <v>30.0</v>
      </c>
      <c r="E14" s="5">
        <f t="shared" si="1"/>
        <v>3.52</v>
      </c>
      <c r="F14" s="5">
        <v>12.4</v>
      </c>
      <c r="G14" s="5">
        <f t="shared" si="2"/>
        <v>6.2</v>
      </c>
      <c r="H14" s="6">
        <f t="shared" si="3"/>
        <v>76.1</v>
      </c>
      <c r="I14" s="5">
        <v>21.9</v>
      </c>
      <c r="J14" s="5">
        <f t="shared" si="4"/>
        <v>5.48</v>
      </c>
      <c r="K14" s="6">
        <f t="shared" si="5"/>
        <v>55.7</v>
      </c>
      <c r="L14" s="5">
        <v>32.0</v>
      </c>
      <c r="M14" s="5">
        <f t="shared" si="6"/>
        <v>4</v>
      </c>
      <c r="N14" s="6">
        <f t="shared" si="7"/>
        <v>13.6</v>
      </c>
      <c r="O14" s="7">
        <v>29.0</v>
      </c>
      <c r="P14" s="5">
        <f t="shared" si="8"/>
        <v>9.67</v>
      </c>
      <c r="Q14" s="8">
        <f t="shared" si="9"/>
        <v>174.7</v>
      </c>
      <c r="R14" s="7">
        <v>45.0</v>
      </c>
      <c r="S14" s="5">
        <f t="shared" si="10"/>
        <v>9</v>
      </c>
      <c r="T14" s="8">
        <f t="shared" si="11"/>
        <v>155.7</v>
      </c>
      <c r="U14" s="7">
        <v>80.0</v>
      </c>
      <c r="V14" s="5">
        <f t="shared" si="12"/>
        <v>8</v>
      </c>
      <c r="W14" s="8">
        <f t="shared" si="13"/>
        <v>127.3</v>
      </c>
    </row>
    <row r="15">
      <c r="A15" s="4" t="s">
        <v>40</v>
      </c>
      <c r="B15" s="4">
        <v>71.37</v>
      </c>
      <c r="C15" s="4">
        <v>206.54</v>
      </c>
      <c r="D15" s="4">
        <v>50.0</v>
      </c>
      <c r="E15" s="5">
        <f t="shared" si="1"/>
        <v>4.13</v>
      </c>
      <c r="F15" s="5">
        <v>12.8</v>
      </c>
      <c r="G15" s="5">
        <f t="shared" si="2"/>
        <v>6.4</v>
      </c>
      <c r="H15" s="6">
        <f t="shared" si="3"/>
        <v>55</v>
      </c>
      <c r="I15" s="5">
        <v>22.63</v>
      </c>
      <c r="J15" s="5">
        <f t="shared" si="4"/>
        <v>5.66</v>
      </c>
      <c r="K15" s="6">
        <f t="shared" si="5"/>
        <v>37</v>
      </c>
      <c r="L15" s="5">
        <v>33.47</v>
      </c>
      <c r="M15" s="5">
        <f t="shared" si="6"/>
        <v>4.18</v>
      </c>
      <c r="N15" s="6">
        <f t="shared" si="7"/>
        <v>1.2</v>
      </c>
      <c r="O15" s="7">
        <v>25.0</v>
      </c>
      <c r="P15" s="5">
        <f t="shared" si="8"/>
        <v>8.33</v>
      </c>
      <c r="Q15" s="8">
        <f t="shared" si="9"/>
        <v>101.7</v>
      </c>
      <c r="R15" s="7">
        <v>40.0</v>
      </c>
      <c r="S15" s="5">
        <f t="shared" si="10"/>
        <v>8</v>
      </c>
      <c r="T15" s="8">
        <f t="shared" si="11"/>
        <v>93.7</v>
      </c>
      <c r="U15" s="7">
        <v>72.0</v>
      </c>
      <c r="V15" s="5">
        <f t="shared" si="12"/>
        <v>7.2</v>
      </c>
      <c r="W15" s="8">
        <f t="shared" si="13"/>
        <v>74.3</v>
      </c>
    </row>
    <row r="16">
      <c r="A16" s="4" t="s">
        <v>41</v>
      </c>
      <c r="B16" s="4">
        <v>110.65</v>
      </c>
      <c r="C16" s="4">
        <v>320.2</v>
      </c>
      <c r="D16" s="4">
        <v>100.0</v>
      </c>
      <c r="E16" s="5">
        <f t="shared" si="1"/>
        <v>3.2</v>
      </c>
      <c r="F16" s="5">
        <v>12.6</v>
      </c>
      <c r="G16" s="5">
        <f t="shared" si="2"/>
        <v>6.3</v>
      </c>
      <c r="H16" s="6">
        <f t="shared" si="3"/>
        <v>96.9</v>
      </c>
      <c r="I16" s="5">
        <v>22.2</v>
      </c>
      <c r="J16" s="5">
        <f t="shared" si="4"/>
        <v>5.55</v>
      </c>
      <c r="K16" s="6">
        <f t="shared" si="5"/>
        <v>73.4</v>
      </c>
      <c r="L16" s="5">
        <v>32.7</v>
      </c>
      <c r="M16" s="5">
        <f t="shared" si="6"/>
        <v>4.09</v>
      </c>
      <c r="N16" s="6">
        <f t="shared" si="7"/>
        <v>27.8</v>
      </c>
      <c r="O16" s="7">
        <v>25.0</v>
      </c>
      <c r="P16" s="5">
        <f t="shared" si="8"/>
        <v>8.33</v>
      </c>
      <c r="Q16" s="8">
        <f t="shared" si="9"/>
        <v>160.3</v>
      </c>
      <c r="R16" s="7">
        <v>40.0</v>
      </c>
      <c r="S16" s="5">
        <f t="shared" si="10"/>
        <v>8</v>
      </c>
      <c r="T16" s="8">
        <f t="shared" si="11"/>
        <v>150</v>
      </c>
      <c r="U16" s="7">
        <v>72.0</v>
      </c>
      <c r="V16" s="5">
        <f t="shared" si="12"/>
        <v>7.2</v>
      </c>
      <c r="W16" s="8">
        <f t="shared" si="13"/>
        <v>125</v>
      </c>
    </row>
    <row r="17">
      <c r="A17" s="4" t="s">
        <v>42</v>
      </c>
      <c r="B17" s="4">
        <v>165.55</v>
      </c>
      <c r="C17" s="4">
        <v>479.07</v>
      </c>
      <c r="D17" s="4">
        <v>87.0</v>
      </c>
      <c r="E17" s="5">
        <f t="shared" si="1"/>
        <v>5.51</v>
      </c>
      <c r="F17" s="5">
        <v>14.49</v>
      </c>
      <c r="G17" s="5">
        <f t="shared" si="2"/>
        <v>7.25</v>
      </c>
      <c r="H17" s="6">
        <f t="shared" si="3"/>
        <v>31.6</v>
      </c>
      <c r="I17" s="5">
        <v>26.04</v>
      </c>
      <c r="J17" s="5">
        <f t="shared" si="4"/>
        <v>6.51</v>
      </c>
      <c r="K17" s="6">
        <f t="shared" si="5"/>
        <v>18.1</v>
      </c>
      <c r="L17" s="5">
        <v>40.3</v>
      </c>
      <c r="M17" s="5">
        <f t="shared" si="6"/>
        <v>5.04</v>
      </c>
      <c r="N17" s="6">
        <f t="shared" si="7"/>
        <v>-8.5</v>
      </c>
      <c r="O17" s="7">
        <v>45.0</v>
      </c>
      <c r="P17" s="5">
        <f t="shared" si="8"/>
        <v>15</v>
      </c>
      <c r="Q17" s="8">
        <f t="shared" si="9"/>
        <v>172.2</v>
      </c>
      <c r="R17" s="7">
        <v>68.0</v>
      </c>
      <c r="S17" s="5">
        <f t="shared" si="10"/>
        <v>13.6</v>
      </c>
      <c r="T17" s="8">
        <f t="shared" si="11"/>
        <v>146.8</v>
      </c>
      <c r="U17" s="7">
        <v>108.0</v>
      </c>
      <c r="V17" s="5">
        <f t="shared" si="12"/>
        <v>10.8</v>
      </c>
      <c r="W17" s="8">
        <f t="shared" si="13"/>
        <v>96</v>
      </c>
    </row>
    <row r="18">
      <c r="A18" s="4" t="s">
        <v>43</v>
      </c>
      <c r="B18" s="4">
        <v>66.22</v>
      </c>
      <c r="C18" s="4">
        <v>191.63</v>
      </c>
      <c r="D18" s="4">
        <v>87.0</v>
      </c>
      <c r="E18" s="5">
        <f t="shared" si="1"/>
        <v>2.2</v>
      </c>
      <c r="F18" s="5">
        <v>14.38</v>
      </c>
      <c r="G18" s="5">
        <f t="shared" si="2"/>
        <v>7.19</v>
      </c>
      <c r="H18" s="6">
        <f t="shared" si="3"/>
        <v>226.8</v>
      </c>
      <c r="I18" s="5">
        <v>25.81</v>
      </c>
      <c r="J18" s="5">
        <f t="shared" si="4"/>
        <v>6.45</v>
      </c>
      <c r="K18" s="6">
        <f t="shared" si="5"/>
        <v>193.2</v>
      </c>
      <c r="L18" s="5">
        <v>39.83</v>
      </c>
      <c r="M18" s="5">
        <f t="shared" si="6"/>
        <v>4.98</v>
      </c>
      <c r="N18" s="6">
        <f t="shared" si="7"/>
        <v>126.4</v>
      </c>
      <c r="O18" s="7">
        <v>32.0</v>
      </c>
      <c r="P18" s="5">
        <f t="shared" si="8"/>
        <v>10.67</v>
      </c>
      <c r="Q18" s="8">
        <f t="shared" si="9"/>
        <v>385</v>
      </c>
      <c r="R18" s="7">
        <v>48.0</v>
      </c>
      <c r="S18" s="5">
        <f t="shared" si="10"/>
        <v>9.6</v>
      </c>
      <c r="T18" s="8">
        <f t="shared" si="11"/>
        <v>336.4</v>
      </c>
      <c r="U18" s="7">
        <v>74.0</v>
      </c>
      <c r="V18" s="5">
        <f t="shared" si="12"/>
        <v>7.4</v>
      </c>
      <c r="W18" s="8">
        <f t="shared" si="13"/>
        <v>236.4</v>
      </c>
    </row>
    <row r="19">
      <c r="A19" s="4" t="s">
        <v>44</v>
      </c>
      <c r="B19" s="4">
        <v>81.84</v>
      </c>
      <c r="C19" s="4">
        <v>236.83</v>
      </c>
      <c r="D19" s="4">
        <v>100.0</v>
      </c>
      <c r="E19" s="5">
        <f t="shared" si="1"/>
        <v>2.37</v>
      </c>
      <c r="F19" s="5">
        <v>14.73</v>
      </c>
      <c r="G19" s="5">
        <f t="shared" si="2"/>
        <v>7.37</v>
      </c>
      <c r="H19" s="6">
        <f t="shared" si="3"/>
        <v>211</v>
      </c>
      <c r="I19" s="5">
        <v>26.51</v>
      </c>
      <c r="J19" s="5">
        <f t="shared" si="4"/>
        <v>6.63</v>
      </c>
      <c r="K19" s="6">
        <f t="shared" si="5"/>
        <v>179.7</v>
      </c>
      <c r="L19" s="5">
        <v>41.24</v>
      </c>
      <c r="M19" s="5">
        <f t="shared" si="6"/>
        <v>5.16</v>
      </c>
      <c r="N19" s="6">
        <f t="shared" si="7"/>
        <v>117.7</v>
      </c>
      <c r="O19" s="7">
        <v>22.0</v>
      </c>
      <c r="P19" s="5">
        <f t="shared" si="8"/>
        <v>7.33</v>
      </c>
      <c r="Q19" s="8">
        <f t="shared" si="9"/>
        <v>209.3</v>
      </c>
      <c r="R19" s="7">
        <v>32.0</v>
      </c>
      <c r="S19" s="5">
        <f t="shared" si="10"/>
        <v>6.4</v>
      </c>
      <c r="T19" s="8">
        <f t="shared" si="11"/>
        <v>170</v>
      </c>
      <c r="U19" s="7">
        <v>55.0</v>
      </c>
      <c r="V19" s="5">
        <f t="shared" si="12"/>
        <v>5.5</v>
      </c>
      <c r="W19" s="8">
        <f t="shared" si="13"/>
        <v>132.1</v>
      </c>
    </row>
    <row r="20">
      <c r="A20" s="4" t="s">
        <v>45</v>
      </c>
      <c r="B20" s="4">
        <v>139.92</v>
      </c>
      <c r="C20" s="4">
        <v>404.9</v>
      </c>
      <c r="D20" s="4">
        <v>100.0</v>
      </c>
      <c r="E20" s="5">
        <f t="shared" si="1"/>
        <v>4.05</v>
      </c>
      <c r="F20" s="5">
        <v>17.73</v>
      </c>
      <c r="G20" s="5">
        <f t="shared" si="2"/>
        <v>8.87</v>
      </c>
      <c r="H20" s="6">
        <f t="shared" si="3"/>
        <v>119</v>
      </c>
      <c r="I20" s="5">
        <v>32.52</v>
      </c>
      <c r="J20" s="5">
        <f t="shared" si="4"/>
        <v>8.13</v>
      </c>
      <c r="K20" s="6">
        <f t="shared" si="5"/>
        <v>100.7</v>
      </c>
      <c r="L20" s="5">
        <v>53.26</v>
      </c>
      <c r="M20" s="5">
        <f t="shared" si="6"/>
        <v>6.66</v>
      </c>
      <c r="N20" s="6">
        <f t="shared" si="7"/>
        <v>64.4</v>
      </c>
      <c r="O20" s="7">
        <v>32.0</v>
      </c>
      <c r="P20" s="5">
        <f t="shared" si="8"/>
        <v>10.67</v>
      </c>
      <c r="Q20" s="8">
        <f t="shared" si="9"/>
        <v>163.5</v>
      </c>
      <c r="R20" s="7">
        <v>44.0</v>
      </c>
      <c r="S20" s="5">
        <f t="shared" si="10"/>
        <v>8.8</v>
      </c>
      <c r="T20" s="8">
        <f t="shared" si="11"/>
        <v>117.3</v>
      </c>
      <c r="U20" s="7">
        <v>75.0</v>
      </c>
      <c r="V20" s="5">
        <f t="shared" si="12"/>
        <v>7.5</v>
      </c>
      <c r="W20" s="8">
        <f t="shared" si="13"/>
        <v>85.2</v>
      </c>
    </row>
    <row r="21" ht="15.75" customHeight="1">
      <c r="A21" s="4" t="s">
        <v>46</v>
      </c>
      <c r="B21" s="4">
        <v>139.92</v>
      </c>
      <c r="C21" s="4">
        <v>404.9</v>
      </c>
      <c r="D21" s="4">
        <v>100.0</v>
      </c>
      <c r="E21" s="5">
        <f t="shared" si="1"/>
        <v>4.05</v>
      </c>
      <c r="F21" s="5">
        <v>17.73</v>
      </c>
      <c r="G21" s="5">
        <f t="shared" si="2"/>
        <v>8.87</v>
      </c>
      <c r="H21" s="6">
        <f t="shared" si="3"/>
        <v>119</v>
      </c>
      <c r="I21" s="5">
        <v>32.52</v>
      </c>
      <c r="J21" s="5">
        <f t="shared" si="4"/>
        <v>8.13</v>
      </c>
      <c r="K21" s="6">
        <f t="shared" si="5"/>
        <v>100.7</v>
      </c>
      <c r="L21" s="5">
        <v>53.26</v>
      </c>
      <c r="M21" s="5">
        <f t="shared" si="6"/>
        <v>6.66</v>
      </c>
      <c r="N21" s="6">
        <f t="shared" si="7"/>
        <v>64.4</v>
      </c>
      <c r="O21" s="7">
        <v>32.0</v>
      </c>
      <c r="P21" s="5">
        <f t="shared" si="8"/>
        <v>10.67</v>
      </c>
      <c r="Q21" s="8">
        <f t="shared" si="9"/>
        <v>163.5</v>
      </c>
      <c r="R21" s="7">
        <v>44.0</v>
      </c>
      <c r="S21" s="5">
        <f t="shared" si="10"/>
        <v>8.8</v>
      </c>
      <c r="T21" s="8">
        <f t="shared" si="11"/>
        <v>117.3</v>
      </c>
      <c r="U21" s="7">
        <v>75.0</v>
      </c>
      <c r="V21" s="5">
        <f t="shared" si="12"/>
        <v>7.5</v>
      </c>
      <c r="W21" s="8">
        <f t="shared" si="13"/>
        <v>85.2</v>
      </c>
    </row>
    <row r="22" ht="15.75" customHeight="1">
      <c r="A22" s="4" t="s">
        <v>47</v>
      </c>
      <c r="B22" s="4">
        <v>139.92</v>
      </c>
      <c r="C22" s="4">
        <v>404.9</v>
      </c>
      <c r="D22" s="4">
        <v>100.0</v>
      </c>
      <c r="E22" s="5">
        <f t="shared" si="1"/>
        <v>4.05</v>
      </c>
      <c r="F22" s="5">
        <v>17.73</v>
      </c>
      <c r="G22" s="5">
        <f t="shared" si="2"/>
        <v>8.87</v>
      </c>
      <c r="H22" s="6">
        <f t="shared" si="3"/>
        <v>119</v>
      </c>
      <c r="I22" s="5">
        <v>32.52</v>
      </c>
      <c r="J22" s="5">
        <f t="shared" si="4"/>
        <v>8.13</v>
      </c>
      <c r="K22" s="6">
        <f t="shared" si="5"/>
        <v>100.7</v>
      </c>
      <c r="L22" s="5">
        <v>53.26</v>
      </c>
      <c r="M22" s="5">
        <f t="shared" si="6"/>
        <v>6.66</v>
      </c>
      <c r="N22" s="6">
        <f t="shared" si="7"/>
        <v>64.4</v>
      </c>
      <c r="O22" s="7">
        <v>32.0</v>
      </c>
      <c r="P22" s="5">
        <f t="shared" si="8"/>
        <v>10.67</v>
      </c>
      <c r="Q22" s="8">
        <f t="shared" si="9"/>
        <v>163.5</v>
      </c>
      <c r="R22" s="7">
        <v>44.0</v>
      </c>
      <c r="S22" s="5">
        <f t="shared" si="10"/>
        <v>8.8</v>
      </c>
      <c r="T22" s="8">
        <f t="shared" si="11"/>
        <v>117.3</v>
      </c>
      <c r="U22" s="7">
        <v>75.0</v>
      </c>
      <c r="V22" s="5">
        <f t="shared" si="12"/>
        <v>7.5</v>
      </c>
      <c r="W22" s="8">
        <f t="shared" si="13"/>
        <v>85.2</v>
      </c>
    </row>
    <row r="23" ht="15.75" customHeight="1">
      <c r="A23" s="4" t="s">
        <v>48</v>
      </c>
      <c r="B23" s="4">
        <v>16.5</v>
      </c>
      <c r="C23" s="4">
        <v>47.75</v>
      </c>
      <c r="D23" s="4">
        <v>100.0</v>
      </c>
      <c r="E23" s="5">
        <f t="shared" si="1"/>
        <v>0.48</v>
      </c>
      <c r="F23" s="5">
        <v>11.2</v>
      </c>
      <c r="G23" s="5">
        <f t="shared" si="2"/>
        <v>5.6</v>
      </c>
      <c r="H23" s="6">
        <f t="shared" si="3"/>
        <v>1066.7</v>
      </c>
      <c r="I23" s="5">
        <v>19.5</v>
      </c>
      <c r="J23" s="5">
        <f t="shared" si="4"/>
        <v>4.88</v>
      </c>
      <c r="K23" s="6">
        <f t="shared" si="5"/>
        <v>916.7</v>
      </c>
      <c r="L23" s="5">
        <v>27.3</v>
      </c>
      <c r="M23" s="5">
        <f t="shared" si="6"/>
        <v>3.41</v>
      </c>
      <c r="N23" s="6">
        <f t="shared" si="7"/>
        <v>610.4</v>
      </c>
      <c r="O23" s="7">
        <v>12.0</v>
      </c>
      <c r="P23" s="5">
        <f t="shared" si="8"/>
        <v>4</v>
      </c>
      <c r="Q23" s="8">
        <f t="shared" si="9"/>
        <v>733.3</v>
      </c>
      <c r="R23" s="7">
        <v>18.0</v>
      </c>
      <c r="S23" s="5">
        <f t="shared" si="10"/>
        <v>3.6</v>
      </c>
      <c r="T23" s="8">
        <f t="shared" si="11"/>
        <v>650</v>
      </c>
      <c r="U23" s="7">
        <v>33.0</v>
      </c>
      <c r="V23" s="5">
        <f t="shared" si="12"/>
        <v>3.3</v>
      </c>
      <c r="W23" s="8">
        <f t="shared" si="13"/>
        <v>587.5</v>
      </c>
    </row>
    <row r="24" ht="15.75" customHeight="1">
      <c r="A24" s="4" t="s">
        <v>49</v>
      </c>
      <c r="B24" s="4">
        <v>206.91</v>
      </c>
      <c r="C24" s="4">
        <v>598.76</v>
      </c>
      <c r="D24" s="4">
        <v>100.0</v>
      </c>
      <c r="E24" s="5">
        <f t="shared" si="1"/>
        <v>5.99</v>
      </c>
      <c r="F24" s="5">
        <v>18.15</v>
      </c>
      <c r="G24" s="5">
        <f t="shared" si="2"/>
        <v>9.08</v>
      </c>
      <c r="H24" s="6">
        <f t="shared" si="3"/>
        <v>51.6</v>
      </c>
      <c r="I24" s="5">
        <v>33.35</v>
      </c>
      <c r="J24" s="5">
        <f t="shared" si="4"/>
        <v>8.34</v>
      </c>
      <c r="K24" s="6">
        <f t="shared" si="5"/>
        <v>39.2</v>
      </c>
      <c r="L24" s="5">
        <v>54.91</v>
      </c>
      <c r="M24" s="5">
        <f t="shared" si="6"/>
        <v>6.86</v>
      </c>
      <c r="N24" s="6">
        <f t="shared" si="7"/>
        <v>14.5</v>
      </c>
      <c r="O24" s="7">
        <v>45.0</v>
      </c>
      <c r="P24" s="5">
        <f t="shared" si="8"/>
        <v>15</v>
      </c>
      <c r="Q24" s="8">
        <f t="shared" si="9"/>
        <v>150.4</v>
      </c>
      <c r="R24" s="7">
        <v>70.0</v>
      </c>
      <c r="S24" s="5">
        <f t="shared" si="10"/>
        <v>14</v>
      </c>
      <c r="T24" s="8">
        <f t="shared" si="11"/>
        <v>133.7</v>
      </c>
      <c r="U24" s="7">
        <v>120.0</v>
      </c>
      <c r="V24" s="5">
        <f t="shared" si="12"/>
        <v>12</v>
      </c>
      <c r="W24" s="8">
        <f t="shared" si="13"/>
        <v>100.3</v>
      </c>
    </row>
    <row r="25" ht="15.75" customHeight="1">
      <c r="A25" s="4" t="s">
        <v>50</v>
      </c>
      <c r="B25" s="4">
        <v>62.7</v>
      </c>
      <c r="C25" s="4">
        <v>181.44</v>
      </c>
      <c r="D25" s="4">
        <v>75.0</v>
      </c>
      <c r="E25" s="5">
        <f t="shared" si="1"/>
        <v>2.42</v>
      </c>
      <c r="F25" s="5">
        <v>14.97</v>
      </c>
      <c r="G25" s="5">
        <f t="shared" si="2"/>
        <v>7.49</v>
      </c>
      <c r="H25" s="6">
        <f t="shared" si="3"/>
        <v>209.5</v>
      </c>
      <c r="I25" s="5">
        <v>26.99</v>
      </c>
      <c r="J25" s="5">
        <f t="shared" si="4"/>
        <v>6.75</v>
      </c>
      <c r="K25" s="6">
        <f t="shared" si="5"/>
        <v>178.9</v>
      </c>
      <c r="L25" s="5">
        <v>42.19</v>
      </c>
      <c r="M25" s="5">
        <f t="shared" si="6"/>
        <v>5.27</v>
      </c>
      <c r="N25" s="6">
        <f t="shared" si="7"/>
        <v>117.8</v>
      </c>
      <c r="O25" s="7">
        <v>22.0</v>
      </c>
      <c r="P25" s="5">
        <f t="shared" si="8"/>
        <v>7.33</v>
      </c>
      <c r="Q25" s="8">
        <f t="shared" si="9"/>
        <v>202.9</v>
      </c>
      <c r="R25" s="7">
        <v>32.0</v>
      </c>
      <c r="S25" s="5">
        <f t="shared" si="10"/>
        <v>6.4</v>
      </c>
      <c r="T25" s="8">
        <f t="shared" si="11"/>
        <v>164.5</v>
      </c>
      <c r="U25" s="7">
        <v>55.0</v>
      </c>
      <c r="V25" s="5">
        <f t="shared" si="12"/>
        <v>5.5</v>
      </c>
      <c r="W25" s="8">
        <f t="shared" si="13"/>
        <v>127.3</v>
      </c>
    </row>
    <row r="26" ht="15.75" customHeight="1">
      <c r="A26" s="4" t="s">
        <v>51</v>
      </c>
      <c r="B26" s="4">
        <v>51.37</v>
      </c>
      <c r="C26" s="4">
        <v>148.65</v>
      </c>
      <c r="D26" s="4">
        <v>75.0</v>
      </c>
      <c r="E26" s="5">
        <f t="shared" si="1"/>
        <v>1.98</v>
      </c>
      <c r="F26" s="5">
        <v>13.96</v>
      </c>
      <c r="G26" s="5">
        <f t="shared" si="2"/>
        <v>6.98</v>
      </c>
      <c r="H26" s="6">
        <f t="shared" si="3"/>
        <v>252.5</v>
      </c>
      <c r="I26" s="5">
        <v>24.98</v>
      </c>
      <c r="J26" s="5">
        <f t="shared" si="4"/>
        <v>6.25</v>
      </c>
      <c r="K26" s="6">
        <f t="shared" si="5"/>
        <v>215.7</v>
      </c>
      <c r="L26" s="5">
        <v>38.18</v>
      </c>
      <c r="M26" s="5">
        <f t="shared" si="6"/>
        <v>4.77</v>
      </c>
      <c r="N26" s="6">
        <f t="shared" si="7"/>
        <v>140.9</v>
      </c>
      <c r="O26" s="7">
        <v>22.0</v>
      </c>
      <c r="P26" s="5">
        <f t="shared" si="8"/>
        <v>7.33</v>
      </c>
      <c r="Q26" s="8">
        <f t="shared" si="9"/>
        <v>270.2</v>
      </c>
      <c r="R26" s="7">
        <v>32.0</v>
      </c>
      <c r="S26" s="5">
        <f t="shared" si="10"/>
        <v>6.4</v>
      </c>
      <c r="T26" s="8">
        <f t="shared" si="11"/>
        <v>223.2</v>
      </c>
      <c r="U26" s="7">
        <v>55.0</v>
      </c>
      <c r="V26" s="5">
        <f t="shared" si="12"/>
        <v>5.5</v>
      </c>
      <c r="W26" s="8">
        <f t="shared" si="13"/>
        <v>177.8</v>
      </c>
    </row>
    <row r="27" ht="15.75" customHeight="1">
      <c r="A27" s="4" t="s">
        <v>52</v>
      </c>
      <c r="B27" s="4">
        <v>124.19</v>
      </c>
      <c r="C27" s="4">
        <v>359.38</v>
      </c>
      <c r="D27" s="4">
        <v>100.0</v>
      </c>
      <c r="E27" s="5">
        <f t="shared" si="1"/>
        <v>3.59</v>
      </c>
      <c r="F27" s="5">
        <v>16.67</v>
      </c>
      <c r="G27" s="5">
        <f t="shared" si="2"/>
        <v>8.34</v>
      </c>
      <c r="H27" s="6">
        <f t="shared" si="3"/>
        <v>132.3</v>
      </c>
      <c r="I27" s="5">
        <v>30.4</v>
      </c>
      <c r="J27" s="5">
        <f t="shared" si="4"/>
        <v>7.6</v>
      </c>
      <c r="K27" s="6">
        <f t="shared" si="5"/>
        <v>111.7</v>
      </c>
      <c r="L27" s="5">
        <v>49.02</v>
      </c>
      <c r="M27" s="5">
        <f t="shared" si="6"/>
        <v>6.13</v>
      </c>
      <c r="N27" s="6">
        <f t="shared" si="7"/>
        <v>70.8</v>
      </c>
      <c r="O27" s="7">
        <v>32.0</v>
      </c>
      <c r="P27" s="5">
        <f t="shared" si="8"/>
        <v>10.67</v>
      </c>
      <c r="Q27" s="8">
        <f t="shared" si="9"/>
        <v>197.2</v>
      </c>
      <c r="R27" s="7">
        <v>44.0</v>
      </c>
      <c r="S27" s="5">
        <f t="shared" si="10"/>
        <v>8.8</v>
      </c>
      <c r="T27" s="8">
        <f t="shared" si="11"/>
        <v>145.1</v>
      </c>
      <c r="U27" s="7">
        <v>75.0</v>
      </c>
      <c r="V27" s="5">
        <f t="shared" si="12"/>
        <v>7.5</v>
      </c>
      <c r="W27" s="8">
        <f t="shared" si="13"/>
        <v>108.9</v>
      </c>
    </row>
    <row r="28" ht="15.75" customHeight="1">
      <c r="A28" s="4" t="s">
        <v>53</v>
      </c>
      <c r="B28" s="4">
        <v>118.25</v>
      </c>
      <c r="C28" s="4">
        <v>342.19</v>
      </c>
      <c r="D28" s="4">
        <v>100.0</v>
      </c>
      <c r="E28" s="5">
        <f t="shared" si="1"/>
        <v>3.42</v>
      </c>
      <c r="F28" s="5">
        <v>16.67</v>
      </c>
      <c r="G28" s="5">
        <f t="shared" si="2"/>
        <v>8.34</v>
      </c>
      <c r="H28" s="6">
        <f t="shared" si="3"/>
        <v>143.9</v>
      </c>
      <c r="I28" s="5">
        <v>30.4</v>
      </c>
      <c r="J28" s="5">
        <f t="shared" si="4"/>
        <v>7.6</v>
      </c>
      <c r="K28" s="6">
        <f t="shared" si="5"/>
        <v>122.2</v>
      </c>
      <c r="L28" s="5">
        <v>49.02</v>
      </c>
      <c r="M28" s="5">
        <f t="shared" si="6"/>
        <v>6.13</v>
      </c>
      <c r="N28" s="6">
        <f t="shared" si="7"/>
        <v>79.2</v>
      </c>
      <c r="O28" s="7">
        <v>32.0</v>
      </c>
      <c r="P28" s="5">
        <f t="shared" si="8"/>
        <v>10.67</v>
      </c>
      <c r="Q28" s="8">
        <f t="shared" si="9"/>
        <v>212</v>
      </c>
      <c r="R28" s="7">
        <v>44.0</v>
      </c>
      <c r="S28" s="5">
        <f t="shared" si="10"/>
        <v>8.8</v>
      </c>
      <c r="T28" s="8">
        <f t="shared" si="11"/>
        <v>157.3</v>
      </c>
      <c r="U28" s="7">
        <v>75.0</v>
      </c>
      <c r="V28" s="5">
        <f t="shared" si="12"/>
        <v>7.5</v>
      </c>
      <c r="W28" s="8">
        <f t="shared" si="13"/>
        <v>119.3</v>
      </c>
    </row>
    <row r="29" ht="15.75" customHeight="1">
      <c r="A29" s="4" t="s">
        <v>54</v>
      </c>
      <c r="B29" s="4">
        <v>98.12</v>
      </c>
      <c r="C29" s="4">
        <v>283.94</v>
      </c>
      <c r="D29" s="4">
        <v>100.0</v>
      </c>
      <c r="E29" s="5">
        <f t="shared" si="1"/>
        <v>2.84</v>
      </c>
      <c r="F29" s="5">
        <v>16.2</v>
      </c>
      <c r="G29" s="5">
        <f t="shared" si="2"/>
        <v>8.1</v>
      </c>
      <c r="H29" s="6">
        <f t="shared" si="3"/>
        <v>185.2</v>
      </c>
      <c r="I29" s="5">
        <v>29.4</v>
      </c>
      <c r="J29" s="5">
        <f t="shared" si="4"/>
        <v>7.35</v>
      </c>
      <c r="K29" s="6">
        <f t="shared" si="5"/>
        <v>158.8</v>
      </c>
      <c r="L29" s="5">
        <v>47.1</v>
      </c>
      <c r="M29" s="5">
        <f t="shared" si="6"/>
        <v>5.89</v>
      </c>
      <c r="N29" s="6">
        <f t="shared" si="7"/>
        <v>107.4</v>
      </c>
      <c r="O29" s="7">
        <v>23.0</v>
      </c>
      <c r="P29" s="5">
        <f t="shared" si="8"/>
        <v>7.67</v>
      </c>
      <c r="Q29" s="8">
        <f t="shared" si="9"/>
        <v>170.1</v>
      </c>
      <c r="R29" s="7">
        <v>40.0</v>
      </c>
      <c r="S29" s="5">
        <f t="shared" si="10"/>
        <v>8</v>
      </c>
      <c r="T29" s="8">
        <f t="shared" si="11"/>
        <v>181.7</v>
      </c>
      <c r="U29" s="7">
        <v>72.0</v>
      </c>
      <c r="V29" s="5">
        <f t="shared" si="12"/>
        <v>7.2</v>
      </c>
      <c r="W29" s="8">
        <f t="shared" si="13"/>
        <v>153.5</v>
      </c>
    </row>
    <row r="30" ht="15.75" customHeight="1">
      <c r="A30" s="4" t="s">
        <v>55</v>
      </c>
      <c r="B30" s="4">
        <v>65.01</v>
      </c>
      <c r="C30" s="4">
        <v>188.13</v>
      </c>
      <c r="D30" s="4">
        <v>100.0</v>
      </c>
      <c r="E30" s="5">
        <f t="shared" si="1"/>
        <v>1.88</v>
      </c>
      <c r="F30" s="5">
        <v>15.6</v>
      </c>
      <c r="G30" s="5">
        <f t="shared" si="2"/>
        <v>7.8</v>
      </c>
      <c r="H30" s="6">
        <f t="shared" si="3"/>
        <v>314.9</v>
      </c>
      <c r="I30" s="5">
        <v>28.3</v>
      </c>
      <c r="J30" s="5">
        <f t="shared" si="4"/>
        <v>7.08</v>
      </c>
      <c r="K30" s="6">
        <f t="shared" si="5"/>
        <v>276.6</v>
      </c>
      <c r="L30" s="5">
        <v>44.7</v>
      </c>
      <c r="M30" s="5">
        <f t="shared" si="6"/>
        <v>5.59</v>
      </c>
      <c r="N30" s="6">
        <f t="shared" si="7"/>
        <v>197.3</v>
      </c>
      <c r="O30" s="7">
        <v>23.0</v>
      </c>
      <c r="P30" s="5">
        <f t="shared" si="8"/>
        <v>7.67</v>
      </c>
      <c r="Q30" s="8">
        <f t="shared" si="9"/>
        <v>308</v>
      </c>
      <c r="R30" s="7">
        <v>40.0</v>
      </c>
      <c r="S30" s="5">
        <f t="shared" si="10"/>
        <v>8</v>
      </c>
      <c r="T30" s="8">
        <f t="shared" si="11"/>
        <v>325.5</v>
      </c>
      <c r="U30" s="7">
        <v>72.0</v>
      </c>
      <c r="V30" s="5">
        <f t="shared" si="12"/>
        <v>7.2</v>
      </c>
      <c r="W30" s="8">
        <f t="shared" si="13"/>
        <v>283</v>
      </c>
    </row>
    <row r="31" ht="15.75" customHeight="1">
      <c r="A31" s="4" t="s">
        <v>56</v>
      </c>
      <c r="B31" s="4">
        <v>256.63</v>
      </c>
      <c r="C31" s="4">
        <v>742.64</v>
      </c>
      <c r="D31" s="4">
        <v>100.0</v>
      </c>
      <c r="E31" s="5">
        <f t="shared" si="1"/>
        <v>7.43</v>
      </c>
      <c r="F31" s="5">
        <v>24.04</v>
      </c>
      <c r="G31" s="5">
        <f t="shared" si="2"/>
        <v>12.02</v>
      </c>
      <c r="H31" s="6">
        <f t="shared" si="3"/>
        <v>61.8</v>
      </c>
      <c r="I31" s="5">
        <v>46.68</v>
      </c>
      <c r="J31" s="5">
        <f t="shared" si="4"/>
        <v>11.67</v>
      </c>
      <c r="K31" s="6">
        <f t="shared" si="5"/>
        <v>57.1</v>
      </c>
      <c r="L31" s="5">
        <v>93.35</v>
      </c>
      <c r="M31" s="5">
        <f t="shared" si="6"/>
        <v>11.67</v>
      </c>
      <c r="N31" s="6">
        <f t="shared" si="7"/>
        <v>57.1</v>
      </c>
      <c r="O31" s="7">
        <v>45.0</v>
      </c>
      <c r="P31" s="5">
        <f t="shared" si="8"/>
        <v>15</v>
      </c>
      <c r="Q31" s="8">
        <f t="shared" si="9"/>
        <v>101.9</v>
      </c>
      <c r="R31" s="7">
        <v>70.0</v>
      </c>
      <c r="S31" s="5">
        <f t="shared" si="10"/>
        <v>14</v>
      </c>
      <c r="T31" s="8">
        <f t="shared" si="11"/>
        <v>88.4</v>
      </c>
      <c r="U31" s="7">
        <v>125.0</v>
      </c>
      <c r="V31" s="5">
        <f t="shared" si="12"/>
        <v>12.5</v>
      </c>
      <c r="W31" s="8">
        <f t="shared" si="13"/>
        <v>68.2</v>
      </c>
    </row>
    <row r="32" ht="15.75" customHeight="1">
      <c r="A32" s="4" t="s">
        <v>57</v>
      </c>
      <c r="B32" s="4">
        <v>258.94</v>
      </c>
      <c r="C32" s="4">
        <v>749.32</v>
      </c>
      <c r="D32" s="4">
        <v>100.0</v>
      </c>
      <c r="E32" s="5">
        <f t="shared" si="1"/>
        <v>7.49</v>
      </c>
      <c r="F32" s="5">
        <v>24.16</v>
      </c>
      <c r="G32" s="5">
        <f t="shared" si="2"/>
        <v>12.08</v>
      </c>
      <c r="H32" s="6">
        <f t="shared" si="3"/>
        <v>61.3</v>
      </c>
      <c r="I32" s="5">
        <v>47.08</v>
      </c>
      <c r="J32" s="5">
        <f t="shared" si="4"/>
        <v>11.77</v>
      </c>
      <c r="K32" s="6">
        <f t="shared" si="5"/>
        <v>57.1</v>
      </c>
      <c r="L32" s="5">
        <v>94.15</v>
      </c>
      <c r="M32" s="5">
        <f t="shared" si="6"/>
        <v>11.77</v>
      </c>
      <c r="N32" s="6">
        <f t="shared" si="7"/>
        <v>57.1</v>
      </c>
      <c r="O32" s="7">
        <v>45.0</v>
      </c>
      <c r="P32" s="5">
        <f t="shared" si="8"/>
        <v>15</v>
      </c>
      <c r="Q32" s="8">
        <f t="shared" si="9"/>
        <v>100.3</v>
      </c>
      <c r="R32" s="7">
        <v>70.0</v>
      </c>
      <c r="S32" s="5">
        <f t="shared" si="10"/>
        <v>14</v>
      </c>
      <c r="T32" s="8">
        <f t="shared" si="11"/>
        <v>86.9</v>
      </c>
      <c r="U32" s="7">
        <v>125.0</v>
      </c>
      <c r="V32" s="5">
        <f t="shared" si="12"/>
        <v>12.5</v>
      </c>
      <c r="W32" s="8">
        <f t="shared" si="13"/>
        <v>66.9</v>
      </c>
    </row>
    <row r="33" ht="15.75" customHeight="1">
      <c r="A33" s="4" t="s">
        <v>58</v>
      </c>
      <c r="B33" s="4">
        <v>108.13</v>
      </c>
      <c r="C33" s="4">
        <v>312.91</v>
      </c>
      <c r="D33" s="4">
        <v>50.0</v>
      </c>
      <c r="E33" s="5">
        <f t="shared" si="1"/>
        <v>6.26</v>
      </c>
      <c r="F33" s="5">
        <v>21.33</v>
      </c>
      <c r="G33" s="5">
        <f t="shared" si="2"/>
        <v>10.67</v>
      </c>
      <c r="H33" s="6">
        <f t="shared" si="3"/>
        <v>70.4</v>
      </c>
      <c r="I33" s="5">
        <v>39.71</v>
      </c>
      <c r="J33" s="5">
        <f t="shared" si="4"/>
        <v>9.93</v>
      </c>
      <c r="K33" s="6">
        <f t="shared" si="5"/>
        <v>58.6</v>
      </c>
      <c r="L33" s="5">
        <v>74.92</v>
      </c>
      <c r="M33" s="5">
        <f t="shared" si="6"/>
        <v>9.37</v>
      </c>
      <c r="N33" s="6">
        <f t="shared" si="7"/>
        <v>49.7</v>
      </c>
      <c r="O33" s="7">
        <v>40.0</v>
      </c>
      <c r="P33" s="5">
        <f t="shared" si="8"/>
        <v>13.33</v>
      </c>
      <c r="Q33" s="8">
        <f t="shared" si="9"/>
        <v>112.9</v>
      </c>
      <c r="R33" s="7">
        <v>60.0</v>
      </c>
      <c r="S33" s="5">
        <f t="shared" si="10"/>
        <v>12</v>
      </c>
      <c r="T33" s="8">
        <f t="shared" si="11"/>
        <v>91.7</v>
      </c>
      <c r="U33" s="7">
        <v>110.0</v>
      </c>
      <c r="V33" s="5">
        <f t="shared" si="12"/>
        <v>11</v>
      </c>
      <c r="W33" s="8">
        <f t="shared" si="13"/>
        <v>75.7</v>
      </c>
    </row>
    <row r="34" ht="15.75" customHeight="1">
      <c r="A34" s="4" t="s">
        <v>59</v>
      </c>
      <c r="B34" s="4">
        <v>67.43</v>
      </c>
      <c r="C34" s="4">
        <v>195.13</v>
      </c>
      <c r="D34" s="4">
        <v>100.0</v>
      </c>
      <c r="E34" s="5">
        <f t="shared" si="1"/>
        <v>1.95</v>
      </c>
      <c r="F34" s="5">
        <v>13.9</v>
      </c>
      <c r="G34" s="5">
        <f t="shared" si="2"/>
        <v>6.95</v>
      </c>
      <c r="H34" s="6">
        <f t="shared" si="3"/>
        <v>256.4</v>
      </c>
      <c r="I34" s="5">
        <v>24.8</v>
      </c>
      <c r="J34" s="5">
        <f t="shared" si="4"/>
        <v>6.2</v>
      </c>
      <c r="K34" s="6">
        <f t="shared" si="5"/>
        <v>217.9</v>
      </c>
      <c r="L34" s="5">
        <v>37.9</v>
      </c>
      <c r="M34" s="5">
        <f t="shared" si="6"/>
        <v>4.74</v>
      </c>
      <c r="N34" s="6">
        <f t="shared" si="7"/>
        <v>143.1</v>
      </c>
      <c r="O34" s="7">
        <v>27.0</v>
      </c>
      <c r="P34" s="5">
        <f t="shared" si="8"/>
        <v>9</v>
      </c>
      <c r="Q34" s="8">
        <f t="shared" si="9"/>
        <v>361.5</v>
      </c>
      <c r="R34" s="7">
        <v>39.0</v>
      </c>
      <c r="S34" s="5">
        <f t="shared" si="10"/>
        <v>7.8</v>
      </c>
      <c r="T34" s="8">
        <f t="shared" si="11"/>
        <v>300</v>
      </c>
      <c r="U34" s="7">
        <v>71.0</v>
      </c>
      <c r="V34" s="5">
        <f t="shared" si="12"/>
        <v>7.1</v>
      </c>
      <c r="W34" s="8">
        <f t="shared" si="13"/>
        <v>264.1</v>
      </c>
    </row>
    <row r="35" ht="15.75" customHeight="1">
      <c r="A35" s="4" t="s">
        <v>60</v>
      </c>
      <c r="B35" s="4">
        <v>54.89</v>
      </c>
      <c r="C35" s="4">
        <v>158.84</v>
      </c>
      <c r="D35" s="4">
        <v>100.0</v>
      </c>
      <c r="E35" s="5">
        <f t="shared" si="1"/>
        <v>1.59</v>
      </c>
      <c r="F35" s="5">
        <v>12.8</v>
      </c>
      <c r="G35" s="5">
        <f t="shared" si="2"/>
        <v>6.4</v>
      </c>
      <c r="H35" s="6">
        <f t="shared" si="3"/>
        <v>302.5</v>
      </c>
      <c r="I35" s="5">
        <v>22.7</v>
      </c>
      <c r="J35" s="5">
        <f t="shared" si="4"/>
        <v>5.68</v>
      </c>
      <c r="K35" s="6">
        <f t="shared" si="5"/>
        <v>257.2</v>
      </c>
      <c r="L35" s="5">
        <v>33.7</v>
      </c>
      <c r="M35" s="5">
        <f t="shared" si="6"/>
        <v>4.21</v>
      </c>
      <c r="N35" s="6">
        <f t="shared" si="7"/>
        <v>164.8</v>
      </c>
      <c r="O35" s="7">
        <v>27.0</v>
      </c>
      <c r="P35" s="5">
        <f t="shared" si="8"/>
        <v>9</v>
      </c>
      <c r="Q35" s="8">
        <f t="shared" si="9"/>
        <v>466</v>
      </c>
      <c r="R35" s="7">
        <v>39.0</v>
      </c>
      <c r="S35" s="5">
        <f t="shared" si="10"/>
        <v>7.8</v>
      </c>
      <c r="T35" s="8">
        <f t="shared" si="11"/>
        <v>390.6</v>
      </c>
      <c r="U35" s="7">
        <v>71.0</v>
      </c>
      <c r="V35" s="5">
        <f t="shared" si="12"/>
        <v>7.1</v>
      </c>
      <c r="W35" s="8">
        <f t="shared" si="13"/>
        <v>346.5</v>
      </c>
    </row>
    <row r="36" ht="15.75" customHeight="1">
      <c r="A36" s="4" t="s">
        <v>61</v>
      </c>
      <c r="B36" s="4">
        <v>82.17</v>
      </c>
      <c r="C36" s="4">
        <v>237.78</v>
      </c>
      <c r="D36" s="4">
        <v>100.0</v>
      </c>
      <c r="E36" s="5">
        <f t="shared" si="1"/>
        <v>2.38</v>
      </c>
      <c r="F36" s="5">
        <v>14.73</v>
      </c>
      <c r="G36" s="5">
        <f t="shared" si="2"/>
        <v>7.37</v>
      </c>
      <c r="H36" s="6">
        <f t="shared" si="3"/>
        <v>209.7</v>
      </c>
      <c r="I36" s="5">
        <v>26.51</v>
      </c>
      <c r="J36" s="5">
        <f t="shared" si="4"/>
        <v>6.63</v>
      </c>
      <c r="K36" s="6">
        <f t="shared" si="5"/>
        <v>178.6</v>
      </c>
      <c r="L36" s="5">
        <v>41.24</v>
      </c>
      <c r="M36" s="5">
        <f t="shared" si="6"/>
        <v>5.16</v>
      </c>
      <c r="N36" s="6">
        <f t="shared" si="7"/>
        <v>116.8</v>
      </c>
      <c r="O36" s="7">
        <v>35.0</v>
      </c>
      <c r="P36" s="5">
        <f t="shared" si="8"/>
        <v>11.67</v>
      </c>
      <c r="Q36" s="8">
        <f t="shared" si="9"/>
        <v>390.3</v>
      </c>
      <c r="R36" s="7">
        <v>50.0</v>
      </c>
      <c r="S36" s="5">
        <f t="shared" si="10"/>
        <v>10</v>
      </c>
      <c r="T36" s="8">
        <f t="shared" si="11"/>
        <v>320.2</v>
      </c>
      <c r="U36" s="7">
        <v>80.0</v>
      </c>
      <c r="V36" s="5">
        <f t="shared" si="12"/>
        <v>8</v>
      </c>
      <c r="W36" s="8">
        <f t="shared" si="13"/>
        <v>236.1</v>
      </c>
    </row>
    <row r="37" ht="15.75" customHeight="1">
      <c r="A37" s="4" t="s">
        <v>62</v>
      </c>
      <c r="B37" s="4">
        <v>70.84</v>
      </c>
      <c r="C37" s="4">
        <v>205.0</v>
      </c>
      <c r="D37" s="4">
        <v>100.0</v>
      </c>
      <c r="E37" s="5">
        <f t="shared" si="1"/>
        <v>2.05</v>
      </c>
      <c r="F37" s="5">
        <v>13.73</v>
      </c>
      <c r="G37" s="5">
        <f t="shared" si="2"/>
        <v>6.87</v>
      </c>
      <c r="H37" s="6">
        <f t="shared" si="3"/>
        <v>235.1</v>
      </c>
      <c r="I37" s="5">
        <v>24.51</v>
      </c>
      <c r="J37" s="5">
        <f t="shared" si="4"/>
        <v>6.13</v>
      </c>
      <c r="K37" s="6">
        <f t="shared" si="5"/>
        <v>199</v>
      </c>
      <c r="L37" s="5">
        <v>37.24</v>
      </c>
      <c r="M37" s="5">
        <f t="shared" si="6"/>
        <v>4.66</v>
      </c>
      <c r="N37" s="6">
        <f t="shared" si="7"/>
        <v>127.3</v>
      </c>
      <c r="O37" s="7">
        <v>26.0</v>
      </c>
      <c r="P37" s="5">
        <f t="shared" si="8"/>
        <v>8.67</v>
      </c>
      <c r="Q37" s="8">
        <f t="shared" si="9"/>
        <v>322.9</v>
      </c>
      <c r="R37" s="7">
        <v>38.0</v>
      </c>
      <c r="S37" s="5">
        <f t="shared" si="10"/>
        <v>7.6</v>
      </c>
      <c r="T37" s="8">
        <f t="shared" si="11"/>
        <v>270.7</v>
      </c>
      <c r="U37" s="7">
        <v>65.0</v>
      </c>
      <c r="V37" s="5">
        <f t="shared" si="12"/>
        <v>6.5</v>
      </c>
      <c r="W37" s="8">
        <f t="shared" si="13"/>
        <v>217.1</v>
      </c>
    </row>
    <row r="38" ht="15.75" customHeight="1">
      <c r="A38" s="4" t="s">
        <v>63</v>
      </c>
      <c r="B38" s="4">
        <v>195.69</v>
      </c>
      <c r="C38" s="4">
        <v>566.29</v>
      </c>
      <c r="D38" s="4">
        <v>100.0</v>
      </c>
      <c r="E38" s="5">
        <f t="shared" si="1"/>
        <v>5.66</v>
      </c>
      <c r="F38" s="5">
        <v>20.2</v>
      </c>
      <c r="G38" s="5">
        <f t="shared" si="2"/>
        <v>10.1</v>
      </c>
      <c r="H38" s="6">
        <f t="shared" si="3"/>
        <v>78.4</v>
      </c>
      <c r="I38" s="5">
        <v>37.4</v>
      </c>
      <c r="J38" s="5">
        <f t="shared" si="4"/>
        <v>9.35</v>
      </c>
      <c r="K38" s="6">
        <f t="shared" si="5"/>
        <v>65.2</v>
      </c>
      <c r="L38" s="5">
        <v>67.2</v>
      </c>
      <c r="M38" s="5">
        <f t="shared" si="6"/>
        <v>8.4</v>
      </c>
      <c r="N38" s="6">
        <f t="shared" si="7"/>
        <v>48.4</v>
      </c>
      <c r="O38" s="7">
        <v>39.0</v>
      </c>
      <c r="P38" s="5">
        <f t="shared" si="8"/>
        <v>13</v>
      </c>
      <c r="Q38" s="8">
        <f t="shared" si="9"/>
        <v>129.7</v>
      </c>
      <c r="R38" s="7">
        <v>59.0</v>
      </c>
      <c r="S38" s="5">
        <f t="shared" si="10"/>
        <v>11.8</v>
      </c>
      <c r="T38" s="8">
        <f t="shared" si="11"/>
        <v>108.5</v>
      </c>
      <c r="U38" s="7">
        <v>98.0</v>
      </c>
      <c r="V38" s="5">
        <f t="shared" si="12"/>
        <v>9.8</v>
      </c>
      <c r="W38" s="8">
        <f t="shared" si="13"/>
        <v>73.1</v>
      </c>
    </row>
    <row r="39" ht="15.75" customHeight="1">
      <c r="A39" s="4" t="s">
        <v>64</v>
      </c>
      <c r="B39" s="4">
        <v>110.0</v>
      </c>
      <c r="C39" s="4">
        <v>318.32</v>
      </c>
      <c r="D39" s="4">
        <v>90.0</v>
      </c>
      <c r="E39" s="5">
        <f t="shared" si="1"/>
        <v>3.54</v>
      </c>
      <c r="F39" s="5">
        <v>16.67</v>
      </c>
      <c r="G39" s="5">
        <f t="shared" si="2"/>
        <v>8.34</v>
      </c>
      <c r="H39" s="6">
        <f t="shared" si="3"/>
        <v>135.6</v>
      </c>
      <c r="I39" s="5">
        <v>30.4</v>
      </c>
      <c r="J39" s="5">
        <f t="shared" si="4"/>
        <v>7.6</v>
      </c>
      <c r="K39" s="6">
        <f t="shared" si="5"/>
        <v>114.7</v>
      </c>
      <c r="L39" s="5">
        <v>49.02</v>
      </c>
      <c r="M39" s="5">
        <f t="shared" si="6"/>
        <v>6.13</v>
      </c>
      <c r="N39" s="6">
        <f t="shared" si="7"/>
        <v>73.2</v>
      </c>
      <c r="O39" s="7">
        <v>39.0</v>
      </c>
      <c r="P39" s="5">
        <f t="shared" si="8"/>
        <v>13</v>
      </c>
      <c r="Q39" s="8">
        <f t="shared" si="9"/>
        <v>267.2</v>
      </c>
      <c r="R39" s="7">
        <v>59.0</v>
      </c>
      <c r="S39" s="5">
        <f t="shared" si="10"/>
        <v>11.8</v>
      </c>
      <c r="T39" s="8">
        <f t="shared" si="11"/>
        <v>233.3</v>
      </c>
      <c r="U39" s="7">
        <v>98.0</v>
      </c>
      <c r="V39" s="5">
        <f t="shared" si="12"/>
        <v>9.8</v>
      </c>
      <c r="W39" s="8">
        <f t="shared" si="13"/>
        <v>176.8</v>
      </c>
    </row>
    <row r="40" ht="15.75" customHeight="1">
      <c r="A40" s="4" t="s">
        <v>65</v>
      </c>
      <c r="B40" s="4">
        <v>210.54</v>
      </c>
      <c r="C40" s="4">
        <v>609.26</v>
      </c>
      <c r="D40" s="4">
        <v>90.0</v>
      </c>
      <c r="E40" s="5">
        <f t="shared" si="1"/>
        <v>6.77</v>
      </c>
      <c r="F40" s="5">
        <v>21.92</v>
      </c>
      <c r="G40" s="5">
        <f t="shared" si="2"/>
        <v>10.96</v>
      </c>
      <c r="H40" s="6">
        <f t="shared" si="3"/>
        <v>61.9</v>
      </c>
      <c r="I40" s="5">
        <v>40.89</v>
      </c>
      <c r="J40" s="5">
        <f t="shared" si="4"/>
        <v>10.22</v>
      </c>
      <c r="K40" s="6">
        <f t="shared" si="5"/>
        <v>51</v>
      </c>
      <c r="L40" s="5">
        <v>78.93</v>
      </c>
      <c r="M40" s="5">
        <f t="shared" si="6"/>
        <v>9.87</v>
      </c>
      <c r="N40" s="6">
        <f t="shared" si="7"/>
        <v>45.8</v>
      </c>
      <c r="O40" s="7">
        <v>45.0</v>
      </c>
      <c r="P40" s="5">
        <f t="shared" si="8"/>
        <v>15</v>
      </c>
      <c r="Q40" s="8">
        <f t="shared" si="9"/>
        <v>121.6</v>
      </c>
      <c r="R40" s="7">
        <v>70.0</v>
      </c>
      <c r="S40" s="5">
        <f t="shared" si="10"/>
        <v>14</v>
      </c>
      <c r="T40" s="8">
        <f t="shared" si="11"/>
        <v>106.8</v>
      </c>
      <c r="U40" s="7">
        <v>125.0</v>
      </c>
      <c r="V40" s="5">
        <f t="shared" si="12"/>
        <v>12.5</v>
      </c>
      <c r="W40" s="8">
        <f t="shared" si="13"/>
        <v>84.6</v>
      </c>
    </row>
    <row r="41" ht="15.75" customHeight="1">
      <c r="A41" s="4" t="s">
        <v>66</v>
      </c>
      <c r="B41" s="4">
        <v>163.24</v>
      </c>
      <c r="C41" s="4">
        <v>472.38</v>
      </c>
      <c r="D41" s="4">
        <v>90.0</v>
      </c>
      <c r="E41" s="5">
        <f t="shared" si="1"/>
        <v>5.25</v>
      </c>
      <c r="F41" s="5">
        <v>19.97</v>
      </c>
      <c r="G41" s="5">
        <f t="shared" si="2"/>
        <v>9.99</v>
      </c>
      <c r="H41" s="6">
        <f t="shared" si="3"/>
        <v>90.3</v>
      </c>
      <c r="I41" s="5">
        <v>37.0</v>
      </c>
      <c r="J41" s="5">
        <f t="shared" si="4"/>
        <v>9.25</v>
      </c>
      <c r="K41" s="6">
        <f t="shared" si="5"/>
        <v>76.2</v>
      </c>
      <c r="L41" s="5">
        <v>65.71</v>
      </c>
      <c r="M41" s="5">
        <f t="shared" si="6"/>
        <v>8.21</v>
      </c>
      <c r="N41" s="6">
        <f t="shared" si="7"/>
        <v>56.4</v>
      </c>
      <c r="O41" s="7">
        <v>39.0</v>
      </c>
      <c r="P41" s="5">
        <f t="shared" si="8"/>
        <v>13</v>
      </c>
      <c r="Q41" s="8">
        <f t="shared" si="9"/>
        <v>147.6</v>
      </c>
      <c r="R41" s="7">
        <v>59.0</v>
      </c>
      <c r="S41" s="5">
        <f t="shared" si="10"/>
        <v>11.8</v>
      </c>
      <c r="T41" s="8">
        <f t="shared" si="11"/>
        <v>124.8</v>
      </c>
      <c r="U41" s="7">
        <v>98.0</v>
      </c>
      <c r="V41" s="5">
        <f t="shared" si="12"/>
        <v>9.8</v>
      </c>
      <c r="W41" s="8">
        <f t="shared" si="13"/>
        <v>86.7</v>
      </c>
    </row>
    <row r="42" ht="15.75" customHeight="1">
      <c r="A42" s="4" t="s">
        <v>67</v>
      </c>
      <c r="B42" s="4">
        <v>156.09</v>
      </c>
      <c r="C42" s="4">
        <v>451.69</v>
      </c>
      <c r="D42" s="4">
        <v>90.0</v>
      </c>
      <c r="E42" s="5">
        <f t="shared" si="1"/>
        <v>5.02</v>
      </c>
      <c r="F42" s="5">
        <v>19.7</v>
      </c>
      <c r="G42" s="5">
        <f t="shared" si="2"/>
        <v>9.85</v>
      </c>
      <c r="H42" s="6">
        <f t="shared" si="3"/>
        <v>96.2</v>
      </c>
      <c r="I42" s="5">
        <v>36.5</v>
      </c>
      <c r="J42" s="5">
        <f t="shared" si="4"/>
        <v>9.13</v>
      </c>
      <c r="K42" s="6">
        <f t="shared" si="5"/>
        <v>81.9</v>
      </c>
      <c r="L42" s="5">
        <v>64.0</v>
      </c>
      <c r="M42" s="5">
        <f t="shared" si="6"/>
        <v>8</v>
      </c>
      <c r="N42" s="6">
        <f t="shared" si="7"/>
        <v>59.4</v>
      </c>
      <c r="O42" s="7">
        <v>39.0</v>
      </c>
      <c r="P42" s="5">
        <f t="shared" si="8"/>
        <v>13</v>
      </c>
      <c r="Q42" s="8">
        <f t="shared" si="9"/>
        <v>159</v>
      </c>
      <c r="R42" s="7">
        <v>59.0</v>
      </c>
      <c r="S42" s="5">
        <f t="shared" si="10"/>
        <v>11.8</v>
      </c>
      <c r="T42" s="8">
        <f t="shared" si="11"/>
        <v>135.1</v>
      </c>
      <c r="U42" s="7">
        <v>98.0</v>
      </c>
      <c r="V42" s="5">
        <f t="shared" si="12"/>
        <v>9.8</v>
      </c>
      <c r="W42" s="8">
        <f t="shared" si="13"/>
        <v>95.2</v>
      </c>
    </row>
    <row r="43" ht="15.75" customHeight="1">
      <c r="A43" s="4" t="s">
        <v>68</v>
      </c>
      <c r="B43" s="4">
        <v>266.09</v>
      </c>
      <c r="C43" s="4">
        <v>770.01</v>
      </c>
      <c r="D43" s="4">
        <v>100.0</v>
      </c>
      <c r="E43" s="5">
        <f t="shared" si="1"/>
        <v>7.7</v>
      </c>
      <c r="F43" s="5">
        <v>67.31</v>
      </c>
      <c r="G43" s="5">
        <f t="shared" si="2"/>
        <v>33.66</v>
      </c>
      <c r="H43" s="6">
        <f t="shared" si="3"/>
        <v>337.1</v>
      </c>
      <c r="I43" s="5">
        <v>134.62</v>
      </c>
      <c r="J43" s="5">
        <f t="shared" si="4"/>
        <v>33.66</v>
      </c>
      <c r="K43" s="6">
        <f t="shared" si="5"/>
        <v>337.1</v>
      </c>
      <c r="L43" s="5">
        <v>269.24</v>
      </c>
      <c r="M43" s="5">
        <f t="shared" si="6"/>
        <v>33.66</v>
      </c>
      <c r="N43" s="6">
        <f t="shared" si="7"/>
        <v>337.1</v>
      </c>
      <c r="O43" s="7">
        <v>67.0</v>
      </c>
      <c r="P43" s="5">
        <f t="shared" si="8"/>
        <v>22.33</v>
      </c>
      <c r="Q43" s="8">
        <f t="shared" si="9"/>
        <v>190</v>
      </c>
      <c r="R43" s="7">
        <v>104.0</v>
      </c>
      <c r="S43" s="5">
        <f t="shared" si="10"/>
        <v>20.8</v>
      </c>
      <c r="T43" s="8">
        <f t="shared" si="11"/>
        <v>170.1</v>
      </c>
      <c r="U43" s="7">
        <v>175.0</v>
      </c>
      <c r="V43" s="5">
        <f t="shared" si="12"/>
        <v>17.5</v>
      </c>
      <c r="W43" s="8">
        <f t="shared" si="13"/>
        <v>127.3</v>
      </c>
    </row>
    <row r="44" ht="15.75" customHeight="1">
      <c r="A44" s="4" t="s">
        <v>69</v>
      </c>
      <c r="B44" s="4">
        <v>380.82</v>
      </c>
      <c r="C44" s="4">
        <v>1102.02</v>
      </c>
      <c r="D44" s="4">
        <v>100.0</v>
      </c>
      <c r="E44" s="5">
        <f t="shared" si="1"/>
        <v>11.02</v>
      </c>
      <c r="F44" s="5">
        <v>14.14</v>
      </c>
      <c r="G44" s="5">
        <f t="shared" si="2"/>
        <v>7.07</v>
      </c>
      <c r="H44" s="6">
        <f t="shared" si="3"/>
        <v>-35.8</v>
      </c>
      <c r="I44" s="5">
        <v>25.34</v>
      </c>
      <c r="J44" s="5">
        <f t="shared" si="4"/>
        <v>6.34</v>
      </c>
      <c r="K44" s="6">
        <f t="shared" si="5"/>
        <v>-42.5</v>
      </c>
      <c r="L44" s="5">
        <v>38.89</v>
      </c>
      <c r="M44" s="5">
        <f t="shared" si="6"/>
        <v>4.86</v>
      </c>
      <c r="N44" s="6">
        <f t="shared" si="7"/>
        <v>-55.9</v>
      </c>
      <c r="O44" s="7">
        <v>89.0</v>
      </c>
      <c r="P44" s="5">
        <f t="shared" si="8"/>
        <v>29.67</v>
      </c>
      <c r="Q44" s="8">
        <f t="shared" si="9"/>
        <v>169.2</v>
      </c>
      <c r="R44" s="7">
        <v>128.0</v>
      </c>
      <c r="S44" s="5">
        <f t="shared" si="10"/>
        <v>25.6</v>
      </c>
      <c r="T44" s="8">
        <f t="shared" si="11"/>
        <v>132.3</v>
      </c>
      <c r="U44" s="7">
        <v>225.0</v>
      </c>
      <c r="V44" s="5">
        <f t="shared" si="12"/>
        <v>22.5</v>
      </c>
      <c r="W44" s="8">
        <f t="shared" si="13"/>
        <v>104.2</v>
      </c>
    </row>
    <row r="45" ht="15.75" customHeight="1">
      <c r="A45" s="4" t="s">
        <v>70</v>
      </c>
      <c r="B45" s="4">
        <v>204.6</v>
      </c>
      <c r="C45" s="4">
        <v>592.07</v>
      </c>
      <c r="D45" s="4">
        <v>50.0</v>
      </c>
      <c r="E45" s="5">
        <f t="shared" si="1"/>
        <v>11.84</v>
      </c>
      <c r="F45" s="5">
        <v>14.14</v>
      </c>
      <c r="G45" s="5">
        <f t="shared" si="2"/>
        <v>7.07</v>
      </c>
      <c r="H45" s="6">
        <f t="shared" si="3"/>
        <v>-40.3</v>
      </c>
      <c r="I45" s="5">
        <v>25.34</v>
      </c>
      <c r="J45" s="5">
        <f t="shared" si="4"/>
        <v>6.34</v>
      </c>
      <c r="K45" s="6">
        <f t="shared" si="5"/>
        <v>-46.5</v>
      </c>
      <c r="L45" s="5">
        <v>38.89</v>
      </c>
      <c r="M45" s="5">
        <f t="shared" si="6"/>
        <v>4.86</v>
      </c>
      <c r="N45" s="6">
        <f t="shared" si="7"/>
        <v>-59</v>
      </c>
      <c r="O45" s="7">
        <v>72.0</v>
      </c>
      <c r="P45" s="5">
        <f t="shared" si="8"/>
        <v>24</v>
      </c>
      <c r="Q45" s="8">
        <f t="shared" si="9"/>
        <v>102.7</v>
      </c>
      <c r="R45" s="7">
        <v>120.0</v>
      </c>
      <c r="S45" s="5">
        <f t="shared" si="10"/>
        <v>24</v>
      </c>
      <c r="T45" s="8">
        <f t="shared" si="11"/>
        <v>102.7</v>
      </c>
      <c r="U45" s="7">
        <v>192.0</v>
      </c>
      <c r="V45" s="5">
        <f t="shared" si="12"/>
        <v>19.2</v>
      </c>
      <c r="W45" s="8">
        <f t="shared" si="13"/>
        <v>62.2</v>
      </c>
    </row>
    <row r="46" ht="15.75" customHeight="1">
      <c r="A46" s="4" t="s">
        <v>71</v>
      </c>
      <c r="B46" s="4">
        <v>137.17</v>
      </c>
      <c r="C46" s="4">
        <v>396.94</v>
      </c>
      <c r="D46" s="4">
        <v>100.0</v>
      </c>
      <c r="E46" s="5">
        <f t="shared" si="1"/>
        <v>3.97</v>
      </c>
      <c r="F46" s="5">
        <v>17.2</v>
      </c>
      <c r="G46" s="5">
        <f t="shared" si="2"/>
        <v>8.6</v>
      </c>
      <c r="H46" s="6">
        <f t="shared" si="3"/>
        <v>116.6</v>
      </c>
      <c r="I46" s="5">
        <v>31.5</v>
      </c>
      <c r="J46" s="5">
        <f t="shared" si="4"/>
        <v>7.88</v>
      </c>
      <c r="K46" s="6">
        <f t="shared" si="5"/>
        <v>98.5</v>
      </c>
      <c r="L46" s="5">
        <v>51.3</v>
      </c>
      <c r="M46" s="5">
        <f t="shared" si="6"/>
        <v>6.41</v>
      </c>
      <c r="N46" s="6">
        <f t="shared" si="7"/>
        <v>61.5</v>
      </c>
      <c r="O46" s="7">
        <v>32.0</v>
      </c>
      <c r="P46" s="5">
        <f t="shared" si="8"/>
        <v>10.67</v>
      </c>
      <c r="Q46" s="8">
        <f t="shared" si="9"/>
        <v>168.8</v>
      </c>
      <c r="R46" s="7">
        <v>44.0</v>
      </c>
      <c r="S46" s="5">
        <f t="shared" si="10"/>
        <v>8.8</v>
      </c>
      <c r="T46" s="8">
        <f t="shared" si="11"/>
        <v>121.7</v>
      </c>
      <c r="U46" s="7">
        <v>75.0</v>
      </c>
      <c r="V46" s="5">
        <f t="shared" si="12"/>
        <v>7.5</v>
      </c>
      <c r="W46" s="8">
        <f t="shared" si="13"/>
        <v>88.9</v>
      </c>
    </row>
    <row r="47" ht="15.75" customHeight="1">
      <c r="A47" s="4" t="s">
        <v>72</v>
      </c>
      <c r="B47" s="4">
        <v>503.14</v>
      </c>
      <c r="C47" s="4">
        <v>1455.99</v>
      </c>
      <c r="D47" s="4">
        <v>100.0</v>
      </c>
      <c r="E47" s="5">
        <f t="shared" si="1"/>
        <v>14.56</v>
      </c>
      <c r="F47" s="5">
        <v>36.06</v>
      </c>
      <c r="G47" s="5">
        <f t="shared" si="2"/>
        <v>18.03</v>
      </c>
      <c r="H47" s="6">
        <f t="shared" si="3"/>
        <v>23.8</v>
      </c>
      <c r="I47" s="5">
        <v>72.12</v>
      </c>
      <c r="J47" s="5">
        <f t="shared" si="4"/>
        <v>18.03</v>
      </c>
      <c r="K47" s="6">
        <f t="shared" si="5"/>
        <v>23.8</v>
      </c>
      <c r="L47" s="5">
        <v>144.24</v>
      </c>
      <c r="M47" s="5">
        <f t="shared" si="6"/>
        <v>18.03</v>
      </c>
      <c r="N47" s="6">
        <f t="shared" si="7"/>
        <v>23.8</v>
      </c>
      <c r="O47" s="7">
        <v>75.0</v>
      </c>
      <c r="P47" s="5">
        <f t="shared" si="8"/>
        <v>25</v>
      </c>
      <c r="Q47" s="8">
        <f t="shared" si="9"/>
        <v>71.7</v>
      </c>
      <c r="R47" s="7">
        <v>119.0</v>
      </c>
      <c r="S47" s="5">
        <f t="shared" si="10"/>
        <v>23.8</v>
      </c>
      <c r="T47" s="8">
        <f t="shared" si="11"/>
        <v>63.5</v>
      </c>
      <c r="U47" s="7">
        <v>205.0</v>
      </c>
      <c r="V47" s="5">
        <f t="shared" si="12"/>
        <v>20.5</v>
      </c>
      <c r="W47" s="8">
        <f t="shared" si="13"/>
        <v>40.8</v>
      </c>
    </row>
    <row r="48" ht="15.75" customHeight="1">
      <c r="A48" s="4" t="s">
        <v>73</v>
      </c>
      <c r="B48" s="4">
        <v>478.94</v>
      </c>
      <c r="C48" s="4">
        <v>1385.96</v>
      </c>
      <c r="D48" s="4">
        <v>100.0</v>
      </c>
      <c r="E48" s="5">
        <f t="shared" si="1"/>
        <v>13.86</v>
      </c>
      <c r="F48" s="5">
        <v>39.77</v>
      </c>
      <c r="G48" s="5">
        <f t="shared" si="2"/>
        <v>19.89</v>
      </c>
      <c r="H48" s="6">
        <f t="shared" si="3"/>
        <v>43.5</v>
      </c>
      <c r="I48" s="5">
        <v>79.53</v>
      </c>
      <c r="J48" s="5">
        <f t="shared" si="4"/>
        <v>19.88</v>
      </c>
      <c r="K48" s="6">
        <f t="shared" si="5"/>
        <v>43.4</v>
      </c>
      <c r="L48" s="5">
        <v>159.06</v>
      </c>
      <c r="M48" s="5">
        <f t="shared" si="6"/>
        <v>19.88</v>
      </c>
      <c r="N48" s="6">
        <f t="shared" si="7"/>
        <v>43.4</v>
      </c>
      <c r="O48" s="7">
        <v>75.0</v>
      </c>
      <c r="P48" s="5">
        <f t="shared" si="8"/>
        <v>25</v>
      </c>
      <c r="Q48" s="8">
        <f t="shared" si="9"/>
        <v>80.4</v>
      </c>
      <c r="R48" s="7">
        <v>119.0</v>
      </c>
      <c r="S48" s="5">
        <f t="shared" si="10"/>
        <v>23.8</v>
      </c>
      <c r="T48" s="8">
        <f t="shared" si="11"/>
        <v>71.7</v>
      </c>
      <c r="U48" s="7">
        <v>205.0</v>
      </c>
      <c r="V48" s="5">
        <f t="shared" si="12"/>
        <v>20.5</v>
      </c>
      <c r="W48" s="8">
        <f t="shared" si="13"/>
        <v>47.9</v>
      </c>
    </row>
    <row r="49" ht="15.75" customHeight="1">
      <c r="A49" s="4" t="s">
        <v>74</v>
      </c>
      <c r="B49" s="4">
        <v>437.58</v>
      </c>
      <c r="C49" s="4">
        <v>1266.27</v>
      </c>
      <c r="D49" s="4">
        <v>200.0</v>
      </c>
      <c r="E49" s="5">
        <f t="shared" si="1"/>
        <v>6.33</v>
      </c>
      <c r="F49" s="5">
        <v>35.2</v>
      </c>
      <c r="G49" s="5">
        <f t="shared" si="2"/>
        <v>17.6</v>
      </c>
      <c r="H49" s="6">
        <f t="shared" si="3"/>
        <v>178</v>
      </c>
      <c r="I49" s="5">
        <v>70.4</v>
      </c>
      <c r="J49" s="5">
        <f t="shared" si="4"/>
        <v>17.6</v>
      </c>
      <c r="K49" s="6">
        <f t="shared" si="5"/>
        <v>178</v>
      </c>
      <c r="L49" s="5">
        <v>140.9</v>
      </c>
      <c r="M49" s="5">
        <f t="shared" si="6"/>
        <v>17.61</v>
      </c>
      <c r="N49" s="6">
        <f t="shared" si="7"/>
        <v>178.2</v>
      </c>
      <c r="O49" s="7">
        <v>45.0</v>
      </c>
      <c r="P49" s="5">
        <f t="shared" si="8"/>
        <v>15</v>
      </c>
      <c r="Q49" s="8">
        <f t="shared" si="9"/>
        <v>137</v>
      </c>
      <c r="R49" s="7">
        <v>70.0</v>
      </c>
      <c r="S49" s="5">
        <f t="shared" si="10"/>
        <v>14</v>
      </c>
      <c r="T49" s="8">
        <f t="shared" si="11"/>
        <v>121.2</v>
      </c>
      <c r="U49" s="7">
        <v>125.0</v>
      </c>
      <c r="V49" s="5">
        <f t="shared" si="12"/>
        <v>12.5</v>
      </c>
      <c r="W49" s="8">
        <f t="shared" si="13"/>
        <v>97.5</v>
      </c>
    </row>
    <row r="50" ht="15.75" customHeight="1">
      <c r="A50" s="4" t="s">
        <v>75</v>
      </c>
      <c r="B50" s="4">
        <v>206.91</v>
      </c>
      <c r="C50" s="4">
        <v>598.76</v>
      </c>
      <c r="D50" s="4">
        <v>70.0</v>
      </c>
      <c r="E50" s="5">
        <f t="shared" si="1"/>
        <v>8.55</v>
      </c>
      <c r="F50" s="5">
        <v>26.5</v>
      </c>
      <c r="G50" s="5">
        <f t="shared" si="2"/>
        <v>13.25</v>
      </c>
      <c r="H50" s="6">
        <f t="shared" si="3"/>
        <v>55</v>
      </c>
      <c r="I50" s="5">
        <v>53.0</v>
      </c>
      <c r="J50" s="5">
        <f t="shared" si="4"/>
        <v>13.25</v>
      </c>
      <c r="K50" s="6">
        <f t="shared" si="5"/>
        <v>55</v>
      </c>
      <c r="L50" s="5">
        <v>106.1</v>
      </c>
      <c r="M50" s="5">
        <f t="shared" si="6"/>
        <v>13.26</v>
      </c>
      <c r="N50" s="6">
        <f t="shared" si="7"/>
        <v>55.1</v>
      </c>
      <c r="O50" s="7">
        <v>59.0</v>
      </c>
      <c r="P50" s="5">
        <f t="shared" si="8"/>
        <v>19.67</v>
      </c>
      <c r="Q50" s="8">
        <f t="shared" si="9"/>
        <v>130.1</v>
      </c>
      <c r="R50" s="7">
        <v>93.0</v>
      </c>
      <c r="S50" s="5">
        <f t="shared" si="10"/>
        <v>18.6</v>
      </c>
      <c r="T50" s="8">
        <f t="shared" si="11"/>
        <v>117.5</v>
      </c>
      <c r="U50" s="7">
        <v>155.0</v>
      </c>
      <c r="V50" s="5">
        <f t="shared" si="12"/>
        <v>15.5</v>
      </c>
      <c r="W50" s="8">
        <f t="shared" si="13"/>
        <v>81.3</v>
      </c>
    </row>
    <row r="51" ht="15.75" customHeight="1">
      <c r="A51" s="4" t="s">
        <v>76</v>
      </c>
      <c r="B51" s="4">
        <v>195.14</v>
      </c>
      <c r="C51" s="4">
        <v>564.7</v>
      </c>
      <c r="D51" s="4">
        <v>70.0</v>
      </c>
      <c r="E51" s="5">
        <f t="shared" si="1"/>
        <v>8.07</v>
      </c>
      <c r="F51" s="5">
        <v>19.8</v>
      </c>
      <c r="G51" s="5">
        <f t="shared" si="2"/>
        <v>9.9</v>
      </c>
      <c r="H51" s="6">
        <f t="shared" si="3"/>
        <v>22.7</v>
      </c>
      <c r="I51" s="5">
        <v>36.65</v>
      </c>
      <c r="J51" s="5">
        <f t="shared" si="4"/>
        <v>9.16</v>
      </c>
      <c r="K51" s="6">
        <f t="shared" si="5"/>
        <v>13.5</v>
      </c>
      <c r="L51" s="5">
        <v>64.51</v>
      </c>
      <c r="M51" s="5">
        <f t="shared" si="6"/>
        <v>8.06</v>
      </c>
      <c r="N51" s="6">
        <f t="shared" si="7"/>
        <v>-0.1</v>
      </c>
      <c r="O51" s="7">
        <v>59.0</v>
      </c>
      <c r="P51" s="5">
        <f t="shared" si="8"/>
        <v>19.67</v>
      </c>
      <c r="Q51" s="8">
        <f t="shared" si="9"/>
        <v>143.7</v>
      </c>
      <c r="R51" s="7">
        <v>93.0</v>
      </c>
      <c r="S51" s="5">
        <f t="shared" si="10"/>
        <v>18.6</v>
      </c>
      <c r="T51" s="8">
        <f t="shared" si="11"/>
        <v>130.5</v>
      </c>
      <c r="U51" s="7">
        <v>155.0</v>
      </c>
      <c r="V51" s="5">
        <f t="shared" si="12"/>
        <v>15.5</v>
      </c>
      <c r="W51" s="8">
        <f t="shared" si="13"/>
        <v>92.1</v>
      </c>
    </row>
    <row r="52" ht="15.75" customHeight="1">
      <c r="A52" s="4" t="s">
        <v>77</v>
      </c>
      <c r="B52" s="4">
        <v>180.95</v>
      </c>
      <c r="C52" s="4">
        <v>523.63</v>
      </c>
      <c r="D52" s="4">
        <v>100.0</v>
      </c>
      <c r="E52" s="5">
        <f t="shared" si="1"/>
        <v>5.24</v>
      </c>
      <c r="F52" s="5">
        <v>22.8</v>
      </c>
      <c r="G52" s="5">
        <f t="shared" si="2"/>
        <v>11.4</v>
      </c>
      <c r="H52" s="6">
        <f t="shared" si="3"/>
        <v>117.6</v>
      </c>
      <c r="I52" s="5">
        <v>42.6</v>
      </c>
      <c r="J52" s="5">
        <f t="shared" si="4"/>
        <v>10.65</v>
      </c>
      <c r="K52" s="6">
        <f t="shared" si="5"/>
        <v>103.2</v>
      </c>
      <c r="L52" s="5">
        <v>84.9</v>
      </c>
      <c r="M52" s="5">
        <f t="shared" si="6"/>
        <v>10.61</v>
      </c>
      <c r="N52" s="6">
        <f t="shared" si="7"/>
        <v>102.5</v>
      </c>
      <c r="O52" s="7">
        <v>43.0</v>
      </c>
      <c r="P52" s="5">
        <f t="shared" si="8"/>
        <v>14.33</v>
      </c>
      <c r="Q52" s="8">
        <f t="shared" si="9"/>
        <v>173.5</v>
      </c>
      <c r="R52" s="7">
        <v>72.0</v>
      </c>
      <c r="S52" s="5">
        <f t="shared" si="10"/>
        <v>14.4</v>
      </c>
      <c r="T52" s="8">
        <f t="shared" si="11"/>
        <v>174.8</v>
      </c>
      <c r="U52" s="7">
        <v>122.0</v>
      </c>
      <c r="V52" s="5">
        <f t="shared" si="12"/>
        <v>12.2</v>
      </c>
      <c r="W52" s="8">
        <f t="shared" si="13"/>
        <v>132.8</v>
      </c>
    </row>
    <row r="53" ht="15.75" customHeight="1">
      <c r="A53" s="4" t="s">
        <v>78</v>
      </c>
      <c r="B53" s="4">
        <v>186.12</v>
      </c>
      <c r="C53" s="4">
        <v>538.59</v>
      </c>
      <c r="D53" s="4">
        <v>100.0</v>
      </c>
      <c r="E53" s="5">
        <f t="shared" si="1"/>
        <v>5.39</v>
      </c>
      <c r="F53" s="5">
        <v>22.7</v>
      </c>
      <c r="G53" s="5">
        <f t="shared" si="2"/>
        <v>11.35</v>
      </c>
      <c r="H53" s="6">
        <f t="shared" si="3"/>
        <v>110.6</v>
      </c>
      <c r="I53" s="5">
        <v>42.5</v>
      </c>
      <c r="J53" s="5">
        <f t="shared" si="4"/>
        <v>10.63</v>
      </c>
      <c r="K53" s="6">
        <f t="shared" si="5"/>
        <v>97.2</v>
      </c>
      <c r="L53" s="5">
        <v>84.5</v>
      </c>
      <c r="M53" s="5">
        <f t="shared" si="6"/>
        <v>10.56</v>
      </c>
      <c r="N53" s="6">
        <f t="shared" si="7"/>
        <v>95.9</v>
      </c>
      <c r="O53" s="7">
        <v>43.0</v>
      </c>
      <c r="P53" s="5">
        <f t="shared" si="8"/>
        <v>14.33</v>
      </c>
      <c r="Q53" s="8">
        <f t="shared" si="9"/>
        <v>165.9</v>
      </c>
      <c r="R53" s="7">
        <v>72.0</v>
      </c>
      <c r="S53" s="5">
        <f t="shared" si="10"/>
        <v>14.4</v>
      </c>
      <c r="T53" s="8">
        <f t="shared" si="11"/>
        <v>167.2</v>
      </c>
      <c r="U53" s="7">
        <v>122.0</v>
      </c>
      <c r="V53" s="5">
        <f t="shared" si="12"/>
        <v>12.2</v>
      </c>
      <c r="W53" s="8">
        <f t="shared" si="13"/>
        <v>126.3</v>
      </c>
    </row>
    <row r="54" ht="15.75" customHeight="1">
      <c r="A54" s="4" t="s">
        <v>79</v>
      </c>
      <c r="B54" s="4">
        <v>104.06</v>
      </c>
      <c r="C54" s="4">
        <v>301.13</v>
      </c>
      <c r="D54" s="4">
        <v>100.0</v>
      </c>
      <c r="E54" s="5">
        <f t="shared" si="1"/>
        <v>3.01</v>
      </c>
      <c r="F54" s="5">
        <v>16.6</v>
      </c>
      <c r="G54" s="5">
        <f t="shared" si="2"/>
        <v>8.3</v>
      </c>
      <c r="H54" s="6">
        <f t="shared" si="3"/>
        <v>175.7</v>
      </c>
      <c r="I54" s="5">
        <v>30.3</v>
      </c>
      <c r="J54" s="5">
        <f t="shared" si="4"/>
        <v>7.58</v>
      </c>
      <c r="K54" s="6">
        <f t="shared" si="5"/>
        <v>151.8</v>
      </c>
      <c r="L54" s="5">
        <v>48.7</v>
      </c>
      <c r="M54" s="5">
        <f t="shared" si="6"/>
        <v>6.09</v>
      </c>
      <c r="N54" s="6">
        <f t="shared" si="7"/>
        <v>102.3</v>
      </c>
      <c r="O54" s="7">
        <v>26.0</v>
      </c>
      <c r="P54" s="5">
        <f t="shared" si="8"/>
        <v>8.67</v>
      </c>
      <c r="Q54" s="8">
        <f t="shared" si="9"/>
        <v>188</v>
      </c>
      <c r="R54" s="7">
        <v>42.0</v>
      </c>
      <c r="S54" s="5">
        <f t="shared" si="10"/>
        <v>8.4</v>
      </c>
      <c r="T54" s="8">
        <f t="shared" si="11"/>
        <v>179.1</v>
      </c>
      <c r="U54" s="7">
        <v>68.0</v>
      </c>
      <c r="V54" s="5">
        <f t="shared" si="12"/>
        <v>6.8</v>
      </c>
      <c r="W54" s="8">
        <f t="shared" si="13"/>
        <v>125.9</v>
      </c>
    </row>
    <row r="55" ht="15.75" customHeight="1">
      <c r="A55" s="4" t="s">
        <v>80</v>
      </c>
      <c r="B55" s="4">
        <v>75.13</v>
      </c>
      <c r="C55" s="4">
        <v>217.41</v>
      </c>
      <c r="D55" s="4">
        <v>100.0</v>
      </c>
      <c r="E55" s="5">
        <f t="shared" si="1"/>
        <v>2.17</v>
      </c>
      <c r="F55" s="5">
        <v>14.26</v>
      </c>
      <c r="G55" s="5">
        <f t="shared" si="2"/>
        <v>7.13</v>
      </c>
      <c r="H55" s="6">
        <f t="shared" si="3"/>
        <v>228.6</v>
      </c>
      <c r="I55" s="5">
        <v>25.57</v>
      </c>
      <c r="J55" s="5">
        <f t="shared" si="4"/>
        <v>6.39</v>
      </c>
      <c r="K55" s="6">
        <f t="shared" si="5"/>
        <v>194.5</v>
      </c>
      <c r="L55" s="5">
        <v>39.36</v>
      </c>
      <c r="M55" s="5">
        <f t="shared" si="6"/>
        <v>4.92</v>
      </c>
      <c r="N55" s="6">
        <f t="shared" si="7"/>
        <v>126.7</v>
      </c>
      <c r="O55" s="7">
        <v>22.0</v>
      </c>
      <c r="P55" s="5">
        <f t="shared" si="8"/>
        <v>7.33</v>
      </c>
      <c r="Q55" s="8">
        <f t="shared" si="9"/>
        <v>237.8</v>
      </c>
      <c r="R55" s="7">
        <v>32.0</v>
      </c>
      <c r="S55" s="5">
        <f t="shared" si="10"/>
        <v>6.4</v>
      </c>
      <c r="T55" s="8">
        <f t="shared" si="11"/>
        <v>194.9</v>
      </c>
      <c r="U55" s="7">
        <v>55.0</v>
      </c>
      <c r="V55" s="5">
        <f t="shared" si="12"/>
        <v>5.5</v>
      </c>
      <c r="W55" s="8">
        <f t="shared" si="13"/>
        <v>153.5</v>
      </c>
    </row>
    <row r="56" ht="15.75" customHeight="1">
      <c r="A56" s="4" t="s">
        <v>81</v>
      </c>
      <c r="B56" s="4">
        <v>47.3</v>
      </c>
      <c r="C56" s="4">
        <v>136.88</v>
      </c>
      <c r="D56" s="4">
        <v>100.0</v>
      </c>
      <c r="E56" s="5">
        <f t="shared" si="1"/>
        <v>1.37</v>
      </c>
      <c r="F56" s="5">
        <v>12.84</v>
      </c>
      <c r="G56" s="5">
        <f t="shared" si="2"/>
        <v>6.42</v>
      </c>
      <c r="H56" s="6">
        <f t="shared" si="3"/>
        <v>368.6</v>
      </c>
      <c r="I56" s="5">
        <v>22.74</v>
      </c>
      <c r="J56" s="5">
        <f t="shared" si="4"/>
        <v>5.69</v>
      </c>
      <c r="K56" s="6">
        <f t="shared" si="5"/>
        <v>315.3</v>
      </c>
      <c r="L56" s="5">
        <v>33.7</v>
      </c>
      <c r="M56" s="5">
        <f t="shared" si="6"/>
        <v>4.21</v>
      </c>
      <c r="N56" s="6">
        <f t="shared" si="7"/>
        <v>207.3</v>
      </c>
      <c r="O56" s="7">
        <v>18.0</v>
      </c>
      <c r="P56" s="5">
        <f t="shared" si="8"/>
        <v>6</v>
      </c>
      <c r="Q56" s="8">
        <f t="shared" si="9"/>
        <v>338</v>
      </c>
      <c r="R56" s="7">
        <v>25.0</v>
      </c>
      <c r="S56" s="5">
        <f t="shared" si="10"/>
        <v>5</v>
      </c>
      <c r="T56" s="8">
        <f t="shared" si="11"/>
        <v>265</v>
      </c>
      <c r="U56" s="7">
        <v>39.0</v>
      </c>
      <c r="V56" s="5">
        <f t="shared" si="12"/>
        <v>3.9</v>
      </c>
      <c r="W56" s="8">
        <f t="shared" si="13"/>
        <v>184.7</v>
      </c>
    </row>
    <row r="57" ht="15.75" customHeight="1">
      <c r="A57" s="4" t="s">
        <v>82</v>
      </c>
      <c r="B57" s="4">
        <v>67.43</v>
      </c>
      <c r="C57" s="4">
        <v>195.13</v>
      </c>
      <c r="D57" s="4">
        <v>75.0</v>
      </c>
      <c r="E57" s="5">
        <f t="shared" si="1"/>
        <v>2.6</v>
      </c>
      <c r="F57" s="5">
        <v>14.79</v>
      </c>
      <c r="G57" s="5">
        <f t="shared" si="2"/>
        <v>7.4</v>
      </c>
      <c r="H57" s="6">
        <f t="shared" si="3"/>
        <v>184.6</v>
      </c>
      <c r="I57" s="5">
        <v>26.63</v>
      </c>
      <c r="J57" s="5">
        <f t="shared" si="4"/>
        <v>6.66</v>
      </c>
      <c r="K57" s="6">
        <f t="shared" si="5"/>
        <v>156.2</v>
      </c>
      <c r="L57" s="5">
        <v>41.48</v>
      </c>
      <c r="M57" s="5">
        <f t="shared" si="6"/>
        <v>5.19</v>
      </c>
      <c r="N57" s="6">
        <f t="shared" si="7"/>
        <v>99.6</v>
      </c>
      <c r="O57" s="7">
        <v>25.0</v>
      </c>
      <c r="P57" s="5">
        <f t="shared" si="8"/>
        <v>8.33</v>
      </c>
      <c r="Q57" s="8">
        <f t="shared" si="9"/>
        <v>220.4</v>
      </c>
      <c r="R57" s="7">
        <v>39.0</v>
      </c>
      <c r="S57" s="5">
        <f t="shared" si="10"/>
        <v>7.8</v>
      </c>
      <c r="T57" s="8">
        <f t="shared" si="11"/>
        <v>200</v>
      </c>
      <c r="U57" s="7">
        <v>68.0</v>
      </c>
      <c r="V57" s="5">
        <f t="shared" si="12"/>
        <v>6.8</v>
      </c>
      <c r="W57" s="8">
        <f t="shared" si="13"/>
        <v>161.5</v>
      </c>
    </row>
    <row r="58" ht="15.75" customHeight="1">
      <c r="A58" s="4" t="s">
        <v>83</v>
      </c>
      <c r="B58" s="4">
        <v>136.4</v>
      </c>
      <c r="C58" s="4">
        <v>394.71</v>
      </c>
      <c r="D58" s="4">
        <v>240.0</v>
      </c>
      <c r="E58" s="5">
        <f t="shared" si="1"/>
        <v>1.64</v>
      </c>
      <c r="F58" s="5">
        <v>13.61</v>
      </c>
      <c r="G58" s="5">
        <f t="shared" si="2"/>
        <v>6.81</v>
      </c>
      <c r="H58" s="6">
        <f t="shared" si="3"/>
        <v>315.2</v>
      </c>
      <c r="I58" s="5">
        <v>24.28</v>
      </c>
      <c r="J58" s="5">
        <f t="shared" si="4"/>
        <v>6.07</v>
      </c>
      <c r="K58" s="6">
        <f t="shared" si="5"/>
        <v>270.1</v>
      </c>
      <c r="L58" s="5">
        <v>36.77</v>
      </c>
      <c r="M58" s="5">
        <f t="shared" si="6"/>
        <v>4.6</v>
      </c>
      <c r="N58" s="6">
        <f t="shared" si="7"/>
        <v>180.5</v>
      </c>
      <c r="O58" s="7">
        <v>22.0</v>
      </c>
      <c r="P58" s="5">
        <f t="shared" si="8"/>
        <v>7.33</v>
      </c>
      <c r="Q58" s="8">
        <f t="shared" si="9"/>
        <v>347</v>
      </c>
      <c r="R58" s="7">
        <v>32.0</v>
      </c>
      <c r="S58" s="5">
        <f t="shared" si="10"/>
        <v>6.4</v>
      </c>
      <c r="T58" s="8">
        <f t="shared" si="11"/>
        <v>290.2</v>
      </c>
      <c r="U58" s="7">
        <v>55.0</v>
      </c>
      <c r="V58" s="5">
        <f t="shared" si="12"/>
        <v>5.5</v>
      </c>
      <c r="W58" s="8">
        <f t="shared" si="13"/>
        <v>235.4</v>
      </c>
    </row>
    <row r="59" ht="15.75" customHeight="1">
      <c r="A59" s="4" t="s">
        <v>84</v>
      </c>
      <c r="B59" s="4">
        <v>124.19</v>
      </c>
      <c r="C59" s="4">
        <v>359.38</v>
      </c>
      <c r="D59" s="4">
        <v>100.0</v>
      </c>
      <c r="E59" s="5">
        <f t="shared" si="1"/>
        <v>3.59</v>
      </c>
      <c r="F59" s="5">
        <v>16.97</v>
      </c>
      <c r="G59" s="5">
        <f t="shared" si="2"/>
        <v>8.49</v>
      </c>
      <c r="H59" s="6">
        <f t="shared" si="3"/>
        <v>136.5</v>
      </c>
      <c r="I59" s="5">
        <v>30.99</v>
      </c>
      <c r="J59" s="5">
        <f t="shared" si="4"/>
        <v>7.75</v>
      </c>
      <c r="K59" s="6">
        <f t="shared" si="5"/>
        <v>115.9</v>
      </c>
      <c r="L59" s="5">
        <v>50.2</v>
      </c>
      <c r="M59" s="5">
        <f t="shared" si="6"/>
        <v>6.28</v>
      </c>
      <c r="N59" s="6">
        <f t="shared" si="7"/>
        <v>74.9</v>
      </c>
      <c r="O59" s="7">
        <v>32.0</v>
      </c>
      <c r="P59" s="5">
        <f t="shared" si="8"/>
        <v>10.67</v>
      </c>
      <c r="Q59" s="8">
        <f t="shared" si="9"/>
        <v>197.2</v>
      </c>
      <c r="R59" s="7">
        <v>44.0</v>
      </c>
      <c r="S59" s="5">
        <f t="shared" si="10"/>
        <v>8.8</v>
      </c>
      <c r="T59" s="8">
        <f t="shared" si="11"/>
        <v>145.1</v>
      </c>
      <c r="U59" s="7">
        <v>75.0</v>
      </c>
      <c r="V59" s="5">
        <f t="shared" si="12"/>
        <v>7.5</v>
      </c>
      <c r="W59" s="8">
        <f t="shared" si="13"/>
        <v>108.9</v>
      </c>
    </row>
    <row r="60" ht="15.75" customHeight="1">
      <c r="A60" s="4" t="s">
        <v>85</v>
      </c>
      <c r="B60" s="4">
        <v>82.83</v>
      </c>
      <c r="C60" s="4">
        <v>239.69</v>
      </c>
      <c r="D60" s="4">
        <v>100.0</v>
      </c>
      <c r="E60" s="5">
        <f t="shared" si="1"/>
        <v>2.4</v>
      </c>
      <c r="F60" s="5">
        <v>14.79</v>
      </c>
      <c r="G60" s="5">
        <f t="shared" si="2"/>
        <v>7.4</v>
      </c>
      <c r="H60" s="6">
        <f t="shared" si="3"/>
        <v>208.3</v>
      </c>
      <c r="I60" s="5">
        <v>26.63</v>
      </c>
      <c r="J60" s="5">
        <f t="shared" si="4"/>
        <v>6.66</v>
      </c>
      <c r="K60" s="6">
        <f t="shared" si="5"/>
        <v>177.5</v>
      </c>
      <c r="L60" s="5">
        <v>41.48</v>
      </c>
      <c r="M60" s="5">
        <f t="shared" si="6"/>
        <v>5.19</v>
      </c>
      <c r="N60" s="6">
        <f t="shared" si="7"/>
        <v>116.3</v>
      </c>
      <c r="O60" s="7">
        <v>23.0</v>
      </c>
      <c r="P60" s="5">
        <f t="shared" si="8"/>
        <v>7.67</v>
      </c>
      <c r="Q60" s="8">
        <f t="shared" si="9"/>
        <v>219.6</v>
      </c>
      <c r="R60" s="7">
        <v>38.0</v>
      </c>
      <c r="S60" s="5">
        <f t="shared" si="10"/>
        <v>7.6</v>
      </c>
      <c r="T60" s="8">
        <f t="shared" si="11"/>
        <v>216.7</v>
      </c>
      <c r="U60" s="7">
        <v>69.0</v>
      </c>
      <c r="V60" s="5">
        <f t="shared" si="12"/>
        <v>6.9</v>
      </c>
      <c r="W60" s="8">
        <f t="shared" si="13"/>
        <v>187.5</v>
      </c>
    </row>
    <row r="61" ht="15.75" customHeight="1">
      <c r="A61" s="4" t="s">
        <v>86</v>
      </c>
      <c r="B61" s="4">
        <v>101.2</v>
      </c>
      <c r="C61" s="4">
        <v>292.85</v>
      </c>
      <c r="D61" s="4">
        <v>100.0</v>
      </c>
      <c r="E61" s="5">
        <f t="shared" si="1"/>
        <v>2.93</v>
      </c>
      <c r="F61" s="5">
        <v>22.74</v>
      </c>
      <c r="G61" s="5">
        <f t="shared" si="2"/>
        <v>11.37</v>
      </c>
      <c r="H61" s="6">
        <f t="shared" si="3"/>
        <v>288.1</v>
      </c>
      <c r="I61" s="5">
        <v>42.54</v>
      </c>
      <c r="J61" s="5">
        <f t="shared" si="4"/>
        <v>10.64</v>
      </c>
      <c r="K61" s="6">
        <f t="shared" si="5"/>
        <v>263.1</v>
      </c>
      <c r="L61" s="5">
        <v>84.54</v>
      </c>
      <c r="M61" s="5">
        <f t="shared" si="6"/>
        <v>10.57</v>
      </c>
      <c r="N61" s="6">
        <f t="shared" si="7"/>
        <v>260.8</v>
      </c>
      <c r="O61" s="7">
        <v>45.0</v>
      </c>
      <c r="P61" s="5">
        <f t="shared" si="8"/>
        <v>15</v>
      </c>
      <c r="Q61" s="8">
        <f t="shared" si="9"/>
        <v>411.9</v>
      </c>
      <c r="R61" s="7">
        <v>65.0</v>
      </c>
      <c r="S61" s="5">
        <f t="shared" si="10"/>
        <v>13</v>
      </c>
      <c r="T61" s="8">
        <f t="shared" si="11"/>
        <v>343.7</v>
      </c>
      <c r="U61" s="7">
        <v>105.0</v>
      </c>
      <c r="V61" s="5">
        <f t="shared" si="12"/>
        <v>10.5</v>
      </c>
      <c r="W61" s="8">
        <f t="shared" si="13"/>
        <v>258.4</v>
      </c>
    </row>
    <row r="62" ht="15.75" customHeight="1">
      <c r="A62" s="4" t="s">
        <v>87</v>
      </c>
      <c r="B62" s="4">
        <v>353.54</v>
      </c>
      <c r="C62" s="4">
        <v>1023.07</v>
      </c>
      <c r="D62" s="4">
        <v>100.0</v>
      </c>
      <c r="E62" s="5">
        <f t="shared" si="1"/>
        <v>10.23</v>
      </c>
      <c r="F62" s="5">
        <v>34.66</v>
      </c>
      <c r="G62" s="5">
        <f t="shared" si="2"/>
        <v>17.33</v>
      </c>
      <c r="H62" s="6">
        <f t="shared" si="3"/>
        <v>69.4</v>
      </c>
      <c r="I62" s="5">
        <v>69.31</v>
      </c>
      <c r="J62" s="5">
        <f t="shared" si="4"/>
        <v>17.33</v>
      </c>
      <c r="K62" s="6">
        <f t="shared" si="5"/>
        <v>69.4</v>
      </c>
      <c r="L62" s="5">
        <v>138.63</v>
      </c>
      <c r="M62" s="5">
        <f t="shared" si="6"/>
        <v>17.33</v>
      </c>
      <c r="N62" s="6">
        <f t="shared" si="7"/>
        <v>69.4</v>
      </c>
      <c r="O62" s="7">
        <v>60.0</v>
      </c>
      <c r="P62" s="5">
        <f t="shared" si="8"/>
        <v>20</v>
      </c>
      <c r="Q62" s="8">
        <f t="shared" si="9"/>
        <v>95.5</v>
      </c>
      <c r="R62" s="7">
        <v>85.0</v>
      </c>
      <c r="S62" s="5">
        <f t="shared" si="10"/>
        <v>17</v>
      </c>
      <c r="T62" s="8">
        <f t="shared" si="11"/>
        <v>66.2</v>
      </c>
      <c r="U62" s="7">
        <v>150.0</v>
      </c>
      <c r="V62" s="5">
        <f t="shared" si="12"/>
        <v>15</v>
      </c>
      <c r="W62" s="8">
        <f t="shared" si="13"/>
        <v>46.6</v>
      </c>
    </row>
    <row r="63" ht="15.75" customHeight="1">
      <c r="A63" s="4" t="s">
        <v>88</v>
      </c>
      <c r="B63" s="4">
        <v>82.83</v>
      </c>
      <c r="C63" s="4">
        <v>239.69</v>
      </c>
      <c r="D63" s="4">
        <v>100.0</v>
      </c>
      <c r="E63" s="5">
        <f t="shared" si="1"/>
        <v>2.4</v>
      </c>
      <c r="F63" s="5">
        <v>14.73</v>
      </c>
      <c r="G63" s="5">
        <f t="shared" si="2"/>
        <v>7.37</v>
      </c>
      <c r="H63" s="6">
        <f t="shared" si="3"/>
        <v>207.1</v>
      </c>
      <c r="I63" s="5">
        <v>26.51</v>
      </c>
      <c r="J63" s="5">
        <f t="shared" si="4"/>
        <v>6.63</v>
      </c>
      <c r="K63" s="6">
        <f t="shared" si="5"/>
        <v>176.3</v>
      </c>
      <c r="L63" s="5">
        <v>41.24</v>
      </c>
      <c r="M63" s="5">
        <f t="shared" si="6"/>
        <v>5.16</v>
      </c>
      <c r="N63" s="6">
        <f t="shared" si="7"/>
        <v>115</v>
      </c>
      <c r="O63" s="7">
        <v>25.0</v>
      </c>
      <c r="P63" s="5">
        <f t="shared" si="8"/>
        <v>8.33</v>
      </c>
      <c r="Q63" s="8">
        <f t="shared" si="9"/>
        <v>247.1</v>
      </c>
      <c r="R63" s="7">
        <v>40.0</v>
      </c>
      <c r="S63" s="5">
        <f t="shared" si="10"/>
        <v>8</v>
      </c>
      <c r="T63" s="8">
        <f t="shared" si="11"/>
        <v>233.3</v>
      </c>
      <c r="U63" s="7">
        <v>72.0</v>
      </c>
      <c r="V63" s="5">
        <f t="shared" si="12"/>
        <v>7.2</v>
      </c>
      <c r="W63" s="8">
        <f t="shared" si="13"/>
        <v>200</v>
      </c>
    </row>
    <row r="64" ht="15.75" customHeight="1">
      <c r="A64" s="4" t="s">
        <v>89</v>
      </c>
      <c r="B64" s="4">
        <v>148.17</v>
      </c>
      <c r="C64" s="4">
        <v>428.77</v>
      </c>
      <c r="D64" s="4">
        <v>100.0</v>
      </c>
      <c r="E64" s="5">
        <f t="shared" si="1"/>
        <v>4.29</v>
      </c>
      <c r="F64" s="5">
        <v>39.2</v>
      </c>
      <c r="G64" s="5">
        <f t="shared" si="2"/>
        <v>19.6</v>
      </c>
      <c r="H64" s="6">
        <f t="shared" si="3"/>
        <v>356.9</v>
      </c>
      <c r="I64" s="5">
        <v>48.4</v>
      </c>
      <c r="J64" s="5">
        <f t="shared" si="4"/>
        <v>12.1</v>
      </c>
      <c r="K64" s="6">
        <f t="shared" si="5"/>
        <v>182.1</v>
      </c>
      <c r="L64" s="5">
        <v>73.4</v>
      </c>
      <c r="M64" s="5">
        <f t="shared" si="6"/>
        <v>9.18</v>
      </c>
      <c r="N64" s="6">
        <f t="shared" si="7"/>
        <v>114</v>
      </c>
      <c r="O64" s="7">
        <v>35.0</v>
      </c>
      <c r="P64" s="5">
        <f t="shared" si="8"/>
        <v>11.67</v>
      </c>
      <c r="Q64" s="8">
        <f t="shared" si="9"/>
        <v>172</v>
      </c>
      <c r="R64" s="7">
        <v>55.0</v>
      </c>
      <c r="S64" s="5">
        <f t="shared" si="10"/>
        <v>11</v>
      </c>
      <c r="T64" s="8">
        <f t="shared" si="11"/>
        <v>156.4</v>
      </c>
      <c r="U64" s="7">
        <v>98.0</v>
      </c>
      <c r="V64" s="5">
        <f t="shared" si="12"/>
        <v>9.8</v>
      </c>
      <c r="W64" s="8">
        <f t="shared" si="13"/>
        <v>128.4</v>
      </c>
    </row>
    <row r="65" ht="15.75" customHeight="1">
      <c r="A65" s="4" t="s">
        <v>90</v>
      </c>
      <c r="B65" s="4">
        <v>139.92</v>
      </c>
      <c r="C65" s="4">
        <v>404.9</v>
      </c>
      <c r="D65" s="4">
        <v>100.0</v>
      </c>
      <c r="E65" s="5">
        <f t="shared" si="1"/>
        <v>4.05</v>
      </c>
      <c r="F65" s="5">
        <v>38.3</v>
      </c>
      <c r="G65" s="5">
        <f t="shared" si="2"/>
        <v>19.15</v>
      </c>
      <c r="H65" s="6">
        <f t="shared" si="3"/>
        <v>372.8</v>
      </c>
      <c r="I65" s="5">
        <v>46.5</v>
      </c>
      <c r="J65" s="5">
        <f t="shared" si="4"/>
        <v>11.63</v>
      </c>
      <c r="K65" s="6">
        <f t="shared" si="5"/>
        <v>187.2</v>
      </c>
      <c r="L65" s="5">
        <v>63.0</v>
      </c>
      <c r="M65" s="5">
        <f t="shared" si="6"/>
        <v>7.88</v>
      </c>
      <c r="N65" s="6">
        <f t="shared" si="7"/>
        <v>94.6</v>
      </c>
      <c r="O65" s="7">
        <v>35.0</v>
      </c>
      <c r="P65" s="5">
        <f t="shared" si="8"/>
        <v>11.67</v>
      </c>
      <c r="Q65" s="8">
        <f t="shared" si="9"/>
        <v>188.1</v>
      </c>
      <c r="R65" s="7">
        <v>55.0</v>
      </c>
      <c r="S65" s="5">
        <f t="shared" si="10"/>
        <v>11</v>
      </c>
      <c r="T65" s="8">
        <f t="shared" si="11"/>
        <v>171.6</v>
      </c>
      <c r="U65" s="7">
        <v>98.0</v>
      </c>
      <c r="V65" s="5">
        <f t="shared" si="12"/>
        <v>9.8</v>
      </c>
      <c r="W65" s="8">
        <f t="shared" si="13"/>
        <v>142</v>
      </c>
    </row>
    <row r="66" ht="15.75" customHeight="1">
      <c r="A66" s="4" t="s">
        <v>91</v>
      </c>
      <c r="B66" s="4">
        <v>65.78</v>
      </c>
      <c r="C66" s="4">
        <v>190.35</v>
      </c>
      <c r="D66" s="4">
        <v>100.0</v>
      </c>
      <c r="E66" s="5">
        <f t="shared" si="1"/>
        <v>1.9</v>
      </c>
      <c r="F66" s="5">
        <v>13.85</v>
      </c>
      <c r="G66" s="5">
        <f t="shared" si="2"/>
        <v>6.93</v>
      </c>
      <c r="H66" s="6">
        <f t="shared" si="3"/>
        <v>264.7</v>
      </c>
      <c r="I66" s="5">
        <v>24.75</v>
      </c>
      <c r="J66" s="5">
        <f t="shared" si="4"/>
        <v>6.19</v>
      </c>
      <c r="K66" s="6">
        <f t="shared" si="5"/>
        <v>225.8</v>
      </c>
      <c r="L66" s="5">
        <v>37.71</v>
      </c>
      <c r="M66" s="5">
        <f t="shared" si="6"/>
        <v>4.71</v>
      </c>
      <c r="N66" s="6">
        <f t="shared" si="7"/>
        <v>147.9</v>
      </c>
      <c r="O66" s="7">
        <v>18.0</v>
      </c>
      <c r="P66" s="5">
        <f t="shared" si="8"/>
        <v>6</v>
      </c>
      <c r="Q66" s="8">
        <f t="shared" si="9"/>
        <v>215.8</v>
      </c>
      <c r="R66" s="7">
        <v>30.0</v>
      </c>
      <c r="S66" s="5">
        <f t="shared" si="10"/>
        <v>6</v>
      </c>
      <c r="T66" s="8">
        <f t="shared" si="11"/>
        <v>215.8</v>
      </c>
      <c r="U66" s="7">
        <v>54.0</v>
      </c>
      <c r="V66" s="5">
        <f t="shared" si="12"/>
        <v>5.4</v>
      </c>
      <c r="W66" s="8">
        <f t="shared" si="13"/>
        <v>184.2</v>
      </c>
    </row>
    <row r="67" ht="15.75" customHeight="1">
      <c r="A67" s="4" t="s">
        <v>92</v>
      </c>
      <c r="B67" s="4">
        <v>50.16</v>
      </c>
      <c r="C67" s="4">
        <v>145.15</v>
      </c>
      <c r="D67" s="4">
        <v>100.0</v>
      </c>
      <c r="E67" s="5">
        <f t="shared" si="1"/>
        <v>1.45</v>
      </c>
      <c r="F67" s="5">
        <v>13.0</v>
      </c>
      <c r="G67" s="5">
        <f t="shared" si="2"/>
        <v>6.5</v>
      </c>
      <c r="H67" s="6">
        <f t="shared" si="3"/>
        <v>348.3</v>
      </c>
      <c r="I67" s="5">
        <v>23.1</v>
      </c>
      <c r="J67" s="5">
        <f t="shared" si="4"/>
        <v>5.78</v>
      </c>
      <c r="K67" s="6">
        <f t="shared" si="5"/>
        <v>298.6</v>
      </c>
      <c r="L67" s="5">
        <v>34.4</v>
      </c>
      <c r="M67" s="5">
        <f t="shared" si="6"/>
        <v>4.3</v>
      </c>
      <c r="N67" s="6">
        <f t="shared" si="7"/>
        <v>196.6</v>
      </c>
      <c r="O67" s="7">
        <v>18.0</v>
      </c>
      <c r="P67" s="5">
        <f t="shared" si="8"/>
        <v>6</v>
      </c>
      <c r="Q67" s="8">
        <f t="shared" si="9"/>
        <v>313.8</v>
      </c>
      <c r="R67" s="7">
        <v>30.0</v>
      </c>
      <c r="S67" s="5">
        <f t="shared" si="10"/>
        <v>6</v>
      </c>
      <c r="T67" s="8">
        <f t="shared" si="11"/>
        <v>313.8</v>
      </c>
      <c r="U67" s="7">
        <v>54.0</v>
      </c>
      <c r="V67" s="5">
        <f t="shared" si="12"/>
        <v>5.4</v>
      </c>
      <c r="W67" s="8">
        <f t="shared" si="13"/>
        <v>272.4</v>
      </c>
    </row>
    <row r="68" ht="15.75" customHeight="1">
      <c r="A68" s="4" t="s">
        <v>93</v>
      </c>
      <c r="B68" s="4">
        <v>65.78</v>
      </c>
      <c r="C68" s="4">
        <v>190.35</v>
      </c>
      <c r="D68" s="4">
        <v>100.0</v>
      </c>
      <c r="E68" s="5">
        <f t="shared" si="1"/>
        <v>1.9</v>
      </c>
      <c r="F68" s="5">
        <v>13.85</v>
      </c>
      <c r="G68" s="5">
        <f t="shared" si="2"/>
        <v>6.93</v>
      </c>
      <c r="H68" s="6">
        <f t="shared" si="3"/>
        <v>264.7</v>
      </c>
      <c r="I68" s="5">
        <v>24.75</v>
      </c>
      <c r="J68" s="5">
        <f t="shared" si="4"/>
        <v>6.19</v>
      </c>
      <c r="K68" s="6">
        <f t="shared" si="5"/>
        <v>225.8</v>
      </c>
      <c r="L68" s="5">
        <v>37.71</v>
      </c>
      <c r="M68" s="5">
        <f t="shared" si="6"/>
        <v>4.71</v>
      </c>
      <c r="N68" s="6">
        <f t="shared" si="7"/>
        <v>147.9</v>
      </c>
      <c r="O68" s="7">
        <v>18.0</v>
      </c>
      <c r="P68" s="5">
        <f t="shared" si="8"/>
        <v>6</v>
      </c>
      <c r="Q68" s="8">
        <f t="shared" si="9"/>
        <v>215.8</v>
      </c>
      <c r="R68" s="7">
        <v>30.0</v>
      </c>
      <c r="S68" s="5">
        <f t="shared" si="10"/>
        <v>6</v>
      </c>
      <c r="T68" s="8">
        <f t="shared" si="11"/>
        <v>215.8</v>
      </c>
      <c r="U68" s="7">
        <v>54.0</v>
      </c>
      <c r="V68" s="5">
        <f t="shared" si="12"/>
        <v>5.4</v>
      </c>
      <c r="W68" s="8">
        <f t="shared" si="13"/>
        <v>184.2</v>
      </c>
    </row>
    <row r="69" ht="15.75" customHeight="1">
      <c r="A69" s="4" t="s">
        <v>94</v>
      </c>
      <c r="B69" s="4">
        <v>95.46</v>
      </c>
      <c r="C69" s="4">
        <v>276.24</v>
      </c>
      <c r="D69" s="4">
        <v>75.0</v>
      </c>
      <c r="E69" s="5">
        <f t="shared" si="1"/>
        <v>3.68</v>
      </c>
      <c r="F69" s="5">
        <v>20.5</v>
      </c>
      <c r="G69" s="5">
        <f t="shared" si="2"/>
        <v>10.25</v>
      </c>
      <c r="H69" s="6">
        <f t="shared" si="3"/>
        <v>178.5</v>
      </c>
      <c r="I69" s="5">
        <v>38.1</v>
      </c>
      <c r="J69" s="5">
        <f t="shared" si="4"/>
        <v>9.53</v>
      </c>
      <c r="K69" s="6">
        <f t="shared" si="5"/>
        <v>159</v>
      </c>
      <c r="L69" s="5">
        <v>69.6</v>
      </c>
      <c r="M69" s="5">
        <f t="shared" si="6"/>
        <v>8.7</v>
      </c>
      <c r="N69" s="6">
        <f t="shared" si="7"/>
        <v>136.4</v>
      </c>
      <c r="O69" s="7">
        <v>29.0</v>
      </c>
      <c r="P69" s="5">
        <f t="shared" si="8"/>
        <v>9.67</v>
      </c>
      <c r="Q69" s="8">
        <f t="shared" si="9"/>
        <v>162.8</v>
      </c>
      <c r="R69" s="7">
        <v>48.0</v>
      </c>
      <c r="S69" s="5">
        <f t="shared" si="10"/>
        <v>9.6</v>
      </c>
      <c r="T69" s="8">
        <f t="shared" si="11"/>
        <v>160.9</v>
      </c>
      <c r="U69" s="7">
        <v>87.0</v>
      </c>
      <c r="V69" s="5">
        <f t="shared" si="12"/>
        <v>8.7</v>
      </c>
      <c r="W69" s="8">
        <f t="shared" si="13"/>
        <v>136.4</v>
      </c>
    </row>
    <row r="70" ht="15.75" customHeight="1">
      <c r="A70" s="4" t="s">
        <v>95</v>
      </c>
      <c r="B70" s="4">
        <v>134.87</v>
      </c>
      <c r="C70" s="4">
        <v>390.29</v>
      </c>
      <c r="D70" s="4">
        <v>100.0</v>
      </c>
      <c r="E70" s="5">
        <f t="shared" si="1"/>
        <v>3.9</v>
      </c>
      <c r="F70" s="5">
        <v>17.73</v>
      </c>
      <c r="G70" s="5">
        <f t="shared" si="2"/>
        <v>8.87</v>
      </c>
      <c r="H70" s="6">
        <f t="shared" si="3"/>
        <v>127.4</v>
      </c>
      <c r="I70" s="5">
        <v>32.52</v>
      </c>
      <c r="J70" s="5">
        <f t="shared" si="4"/>
        <v>8.13</v>
      </c>
      <c r="K70" s="6">
        <f t="shared" si="5"/>
        <v>108.5</v>
      </c>
      <c r="L70" s="5">
        <v>53.26</v>
      </c>
      <c r="M70" s="5">
        <f t="shared" si="6"/>
        <v>6.66</v>
      </c>
      <c r="N70" s="6">
        <f t="shared" si="7"/>
        <v>70.8</v>
      </c>
      <c r="O70" s="7">
        <v>35.0</v>
      </c>
      <c r="P70" s="5">
        <f t="shared" si="8"/>
        <v>11.67</v>
      </c>
      <c r="Q70" s="8">
        <f t="shared" si="9"/>
        <v>199.2</v>
      </c>
      <c r="R70" s="7">
        <v>55.0</v>
      </c>
      <c r="S70" s="5">
        <f t="shared" si="10"/>
        <v>11</v>
      </c>
      <c r="T70" s="8">
        <f t="shared" si="11"/>
        <v>182.1</v>
      </c>
      <c r="U70" s="7">
        <v>98.0</v>
      </c>
      <c r="V70" s="5">
        <f t="shared" si="12"/>
        <v>9.8</v>
      </c>
      <c r="W70" s="8">
        <f t="shared" si="13"/>
        <v>151.3</v>
      </c>
    </row>
    <row r="71" ht="15.75" customHeight="1">
      <c r="A71" s="4" t="s">
        <v>96</v>
      </c>
      <c r="B71" s="4">
        <v>69.19</v>
      </c>
      <c r="C71" s="4">
        <v>200.22</v>
      </c>
      <c r="D71" s="4">
        <v>100.0</v>
      </c>
      <c r="E71" s="5">
        <f t="shared" si="1"/>
        <v>2</v>
      </c>
      <c r="F71" s="5">
        <v>14.2</v>
      </c>
      <c r="G71" s="5">
        <f t="shared" si="2"/>
        <v>7.1</v>
      </c>
      <c r="H71" s="6">
        <f t="shared" si="3"/>
        <v>255</v>
      </c>
      <c r="I71" s="5">
        <v>25.5</v>
      </c>
      <c r="J71" s="5">
        <f t="shared" si="4"/>
        <v>6.38</v>
      </c>
      <c r="K71" s="6">
        <f t="shared" si="5"/>
        <v>219</v>
      </c>
      <c r="L71" s="5">
        <v>39.3</v>
      </c>
      <c r="M71" s="5">
        <f t="shared" si="6"/>
        <v>4.91</v>
      </c>
      <c r="N71" s="6">
        <f t="shared" si="7"/>
        <v>145.5</v>
      </c>
      <c r="O71" s="7">
        <v>22.0</v>
      </c>
      <c r="P71" s="5">
        <f t="shared" si="8"/>
        <v>7.33</v>
      </c>
      <c r="Q71" s="8">
        <f t="shared" si="9"/>
        <v>266.5</v>
      </c>
      <c r="R71" s="7">
        <v>32.0</v>
      </c>
      <c r="S71" s="5">
        <f t="shared" si="10"/>
        <v>6.4</v>
      </c>
      <c r="T71" s="8">
        <f t="shared" si="11"/>
        <v>220</v>
      </c>
      <c r="U71" s="7">
        <v>55.0</v>
      </c>
      <c r="V71" s="5">
        <f t="shared" si="12"/>
        <v>5.5</v>
      </c>
      <c r="W71" s="8">
        <f t="shared" si="13"/>
        <v>175</v>
      </c>
    </row>
    <row r="72" ht="15.75" customHeight="1">
      <c r="A72" s="4" t="s">
        <v>97</v>
      </c>
      <c r="B72" s="4">
        <v>182.49</v>
      </c>
      <c r="C72" s="4">
        <v>528.09</v>
      </c>
      <c r="D72" s="4">
        <v>100.0</v>
      </c>
      <c r="E72" s="5">
        <f t="shared" si="1"/>
        <v>5.28</v>
      </c>
      <c r="F72" s="5">
        <v>23.6</v>
      </c>
      <c r="G72" s="5">
        <f t="shared" si="2"/>
        <v>11.8</v>
      </c>
      <c r="H72" s="6">
        <f t="shared" si="3"/>
        <v>123.5</v>
      </c>
      <c r="I72" s="5">
        <v>45.2</v>
      </c>
      <c r="J72" s="5">
        <f t="shared" si="4"/>
        <v>11.3</v>
      </c>
      <c r="K72" s="6">
        <f t="shared" si="5"/>
        <v>114</v>
      </c>
      <c r="L72" s="5">
        <v>90.5</v>
      </c>
      <c r="M72" s="5">
        <f t="shared" si="6"/>
        <v>11.31</v>
      </c>
      <c r="N72" s="6">
        <f t="shared" si="7"/>
        <v>114.2</v>
      </c>
      <c r="O72" s="7">
        <v>36.0</v>
      </c>
      <c r="P72" s="5">
        <f t="shared" si="8"/>
        <v>12</v>
      </c>
      <c r="Q72" s="8">
        <f t="shared" si="9"/>
        <v>127.3</v>
      </c>
      <c r="R72" s="7">
        <v>60.0</v>
      </c>
      <c r="S72" s="5">
        <f t="shared" si="10"/>
        <v>12</v>
      </c>
      <c r="T72" s="8">
        <f t="shared" si="11"/>
        <v>127.3</v>
      </c>
      <c r="U72" s="7">
        <v>108.0</v>
      </c>
      <c r="V72" s="5">
        <f t="shared" si="12"/>
        <v>10.8</v>
      </c>
      <c r="W72" s="8">
        <f t="shared" si="13"/>
        <v>104.5</v>
      </c>
    </row>
    <row r="73" ht="15.75" customHeight="1">
      <c r="A73" s="4" t="s">
        <v>98</v>
      </c>
      <c r="B73" s="4">
        <v>255.3</v>
      </c>
      <c r="C73" s="4">
        <v>738.79</v>
      </c>
      <c r="D73" s="4">
        <v>100.0</v>
      </c>
      <c r="E73" s="5">
        <f t="shared" si="1"/>
        <v>7.39</v>
      </c>
      <c r="F73" s="5">
        <v>21.74</v>
      </c>
      <c r="G73" s="5">
        <f t="shared" si="2"/>
        <v>10.87</v>
      </c>
      <c r="H73" s="6">
        <f t="shared" si="3"/>
        <v>47.1</v>
      </c>
      <c r="I73" s="5">
        <v>40.54</v>
      </c>
      <c r="J73" s="5">
        <f t="shared" si="4"/>
        <v>10.14</v>
      </c>
      <c r="K73" s="6">
        <f t="shared" si="5"/>
        <v>37.2</v>
      </c>
      <c r="L73" s="5">
        <v>77.73</v>
      </c>
      <c r="M73" s="5">
        <f t="shared" si="6"/>
        <v>9.72</v>
      </c>
      <c r="N73" s="6">
        <f t="shared" si="7"/>
        <v>31.5</v>
      </c>
      <c r="O73" s="7">
        <v>60.0</v>
      </c>
      <c r="P73" s="5">
        <f t="shared" si="8"/>
        <v>20</v>
      </c>
      <c r="Q73" s="8">
        <f t="shared" si="9"/>
        <v>170.6</v>
      </c>
      <c r="R73" s="7">
        <v>85.0</v>
      </c>
      <c r="S73" s="5">
        <f t="shared" si="10"/>
        <v>17</v>
      </c>
      <c r="T73" s="8">
        <f t="shared" si="11"/>
        <v>130</v>
      </c>
      <c r="U73" s="7">
        <v>150.0</v>
      </c>
      <c r="V73" s="5">
        <f t="shared" si="12"/>
        <v>15</v>
      </c>
      <c r="W73" s="8">
        <f t="shared" si="13"/>
        <v>103</v>
      </c>
    </row>
    <row r="74" ht="15.75" customHeight="1">
      <c r="A74" s="4" t="s">
        <v>99</v>
      </c>
      <c r="B74" s="4">
        <v>142.08</v>
      </c>
      <c r="C74" s="4">
        <v>411.15</v>
      </c>
      <c r="D74" s="4">
        <v>100.0</v>
      </c>
      <c r="E74" s="5">
        <f t="shared" si="1"/>
        <v>4.11</v>
      </c>
      <c r="F74" s="5">
        <v>38.9</v>
      </c>
      <c r="G74" s="5">
        <f t="shared" si="2"/>
        <v>19.45</v>
      </c>
      <c r="H74" s="6">
        <f t="shared" si="3"/>
        <v>373.2</v>
      </c>
      <c r="I74" s="5">
        <v>47.7</v>
      </c>
      <c r="J74" s="5">
        <f t="shared" si="4"/>
        <v>11.93</v>
      </c>
      <c r="K74" s="6">
        <f t="shared" si="5"/>
        <v>190.3</v>
      </c>
      <c r="L74" s="5">
        <v>72.1</v>
      </c>
      <c r="M74" s="5">
        <f t="shared" si="6"/>
        <v>9.01</v>
      </c>
      <c r="N74" s="6">
        <f t="shared" si="7"/>
        <v>119.2</v>
      </c>
      <c r="O74" s="7">
        <v>45.0</v>
      </c>
      <c r="P74" s="5">
        <f t="shared" si="8"/>
        <v>15</v>
      </c>
      <c r="Q74" s="8">
        <f t="shared" si="9"/>
        <v>265</v>
      </c>
      <c r="R74" s="7">
        <v>65.0</v>
      </c>
      <c r="S74" s="5">
        <f t="shared" si="10"/>
        <v>13</v>
      </c>
      <c r="T74" s="8">
        <f t="shared" si="11"/>
        <v>216.3</v>
      </c>
      <c r="U74" s="7">
        <v>105.0</v>
      </c>
      <c r="V74" s="5">
        <f t="shared" si="12"/>
        <v>10.5</v>
      </c>
      <c r="W74" s="8">
        <f t="shared" si="13"/>
        <v>155.5</v>
      </c>
    </row>
    <row r="75" ht="15.75" customHeight="1">
      <c r="A75" s="4" t="s">
        <v>100</v>
      </c>
      <c r="B75" s="4">
        <v>128.92</v>
      </c>
      <c r="C75" s="4">
        <v>373.07</v>
      </c>
      <c r="D75" s="4">
        <v>100.0</v>
      </c>
      <c r="E75" s="5">
        <f t="shared" si="1"/>
        <v>3.73</v>
      </c>
      <c r="F75" s="5">
        <v>19.4</v>
      </c>
      <c r="G75" s="5">
        <f t="shared" si="2"/>
        <v>9.7</v>
      </c>
      <c r="H75" s="6">
        <f t="shared" si="3"/>
        <v>160.1</v>
      </c>
      <c r="I75" s="5">
        <v>35.8</v>
      </c>
      <c r="J75" s="5">
        <f t="shared" si="4"/>
        <v>8.95</v>
      </c>
      <c r="K75" s="6">
        <f t="shared" si="5"/>
        <v>139.9</v>
      </c>
      <c r="L75" s="5">
        <v>61.6</v>
      </c>
      <c r="M75" s="5">
        <f t="shared" si="6"/>
        <v>7.7</v>
      </c>
      <c r="N75" s="6">
        <f t="shared" si="7"/>
        <v>106.4</v>
      </c>
      <c r="O75" s="7">
        <v>32.0</v>
      </c>
      <c r="P75" s="5">
        <f t="shared" si="8"/>
        <v>10.67</v>
      </c>
      <c r="Q75" s="8">
        <f t="shared" si="9"/>
        <v>186.1</v>
      </c>
      <c r="R75" s="7">
        <v>48.0</v>
      </c>
      <c r="S75" s="5">
        <f t="shared" si="10"/>
        <v>9.6</v>
      </c>
      <c r="T75" s="8">
        <f t="shared" si="11"/>
        <v>157.4</v>
      </c>
      <c r="U75" s="7">
        <v>86.0</v>
      </c>
      <c r="V75" s="5">
        <f t="shared" si="12"/>
        <v>8.6</v>
      </c>
      <c r="W75" s="8">
        <f t="shared" si="13"/>
        <v>130.6</v>
      </c>
    </row>
    <row r="76" ht="15.75" customHeight="1">
      <c r="A76" s="4" t="s">
        <v>101</v>
      </c>
      <c r="B76" s="4">
        <v>48.84</v>
      </c>
      <c r="C76" s="4">
        <v>141.33</v>
      </c>
      <c r="D76" s="4">
        <v>100.0</v>
      </c>
      <c r="E76" s="5">
        <f t="shared" si="1"/>
        <v>1.41</v>
      </c>
      <c r="F76" s="5">
        <v>15.5</v>
      </c>
      <c r="G76" s="5">
        <f t="shared" si="2"/>
        <v>7.75</v>
      </c>
      <c r="H76" s="6">
        <f t="shared" si="3"/>
        <v>449.6</v>
      </c>
      <c r="I76" s="5">
        <v>28.05</v>
      </c>
      <c r="J76" s="5">
        <f t="shared" si="4"/>
        <v>7.01</v>
      </c>
      <c r="K76" s="6">
        <f t="shared" si="5"/>
        <v>397.2</v>
      </c>
      <c r="L76" s="5">
        <v>44.31</v>
      </c>
      <c r="M76" s="5">
        <f t="shared" si="6"/>
        <v>5.54</v>
      </c>
      <c r="N76" s="6">
        <f t="shared" si="7"/>
        <v>292.9</v>
      </c>
      <c r="O76" s="7">
        <v>18.0</v>
      </c>
      <c r="P76" s="5">
        <f t="shared" si="8"/>
        <v>6</v>
      </c>
      <c r="Q76" s="8">
        <f t="shared" si="9"/>
        <v>325.5</v>
      </c>
      <c r="R76" s="7">
        <v>26.0</v>
      </c>
      <c r="S76" s="5">
        <f t="shared" si="10"/>
        <v>5.2</v>
      </c>
      <c r="T76" s="8">
        <f t="shared" si="11"/>
        <v>268.8</v>
      </c>
      <c r="U76" s="7">
        <v>42.0</v>
      </c>
      <c r="V76" s="5">
        <f t="shared" si="12"/>
        <v>4.2</v>
      </c>
      <c r="W76" s="8">
        <f t="shared" si="13"/>
        <v>197.9</v>
      </c>
    </row>
    <row r="77" ht="15.75" customHeight="1">
      <c r="A77" s="4" t="s">
        <v>102</v>
      </c>
      <c r="B77" s="4">
        <v>12.99</v>
      </c>
      <c r="C77" s="4">
        <v>37.59</v>
      </c>
      <c r="D77" s="4">
        <v>100.0</v>
      </c>
      <c r="E77" s="5">
        <f t="shared" si="1"/>
        <v>0.38</v>
      </c>
      <c r="F77" s="5">
        <v>11.19</v>
      </c>
      <c r="G77" s="5">
        <f t="shared" si="2"/>
        <v>5.6</v>
      </c>
      <c r="H77" s="6">
        <f t="shared" si="3"/>
        <v>1373.7</v>
      </c>
      <c r="I77" s="5">
        <v>19.44</v>
      </c>
      <c r="J77" s="5">
        <f t="shared" si="4"/>
        <v>4.86</v>
      </c>
      <c r="K77" s="6">
        <f t="shared" si="5"/>
        <v>1178.9</v>
      </c>
      <c r="L77" s="5">
        <v>27.1</v>
      </c>
      <c r="M77" s="5">
        <f t="shared" si="6"/>
        <v>3.39</v>
      </c>
      <c r="N77" s="6">
        <f t="shared" si="7"/>
        <v>792.1</v>
      </c>
      <c r="O77" s="7">
        <v>12.0</v>
      </c>
      <c r="P77" s="5">
        <f t="shared" si="8"/>
        <v>4</v>
      </c>
      <c r="Q77" s="8">
        <f t="shared" si="9"/>
        <v>952.6</v>
      </c>
      <c r="R77" s="7">
        <v>18.0</v>
      </c>
      <c r="S77" s="5">
        <f t="shared" si="10"/>
        <v>3.6</v>
      </c>
      <c r="T77" s="8">
        <f t="shared" si="11"/>
        <v>847.4</v>
      </c>
      <c r="U77" s="7">
        <v>33.0</v>
      </c>
      <c r="V77" s="5">
        <f t="shared" si="12"/>
        <v>3.3</v>
      </c>
      <c r="W77" s="8">
        <f t="shared" si="13"/>
        <v>768.4</v>
      </c>
    </row>
    <row r="78" ht="15.75" customHeight="1">
      <c r="A78" s="4" t="s">
        <v>103</v>
      </c>
      <c r="B78" s="4">
        <v>51.92</v>
      </c>
      <c r="C78" s="4">
        <v>150.25</v>
      </c>
      <c r="D78" s="4">
        <v>100.0</v>
      </c>
      <c r="E78" s="5">
        <f t="shared" si="1"/>
        <v>1.5</v>
      </c>
      <c r="F78" s="5">
        <v>13.08</v>
      </c>
      <c r="G78" s="5">
        <f t="shared" si="2"/>
        <v>6.54</v>
      </c>
      <c r="H78" s="6">
        <f t="shared" si="3"/>
        <v>336</v>
      </c>
      <c r="I78" s="5">
        <v>23.21</v>
      </c>
      <c r="J78" s="5">
        <f t="shared" si="4"/>
        <v>5.8</v>
      </c>
      <c r="K78" s="6">
        <f t="shared" si="5"/>
        <v>286.7</v>
      </c>
      <c r="L78" s="5">
        <v>34.64</v>
      </c>
      <c r="M78" s="5">
        <f t="shared" si="6"/>
        <v>4.33</v>
      </c>
      <c r="N78" s="6">
        <f t="shared" si="7"/>
        <v>188.7</v>
      </c>
      <c r="O78" s="7">
        <v>18.0</v>
      </c>
      <c r="P78" s="5">
        <f t="shared" si="8"/>
        <v>6</v>
      </c>
      <c r="Q78" s="8">
        <f t="shared" si="9"/>
        <v>300</v>
      </c>
      <c r="R78" s="7">
        <v>26.0</v>
      </c>
      <c r="S78" s="5">
        <f t="shared" si="10"/>
        <v>5.2</v>
      </c>
      <c r="T78" s="8">
        <f t="shared" si="11"/>
        <v>246.7</v>
      </c>
      <c r="U78" s="7">
        <v>42.0</v>
      </c>
      <c r="V78" s="5">
        <f t="shared" si="12"/>
        <v>4.2</v>
      </c>
      <c r="W78" s="8">
        <f t="shared" si="13"/>
        <v>180</v>
      </c>
    </row>
    <row r="79" ht="15.75" customHeight="1">
      <c r="A79" s="4" t="s">
        <v>104</v>
      </c>
      <c r="B79" s="4">
        <v>33.11</v>
      </c>
      <c r="C79" s="4">
        <v>95.81</v>
      </c>
      <c r="D79" s="4">
        <v>100.0</v>
      </c>
      <c r="E79" s="5">
        <f t="shared" si="1"/>
        <v>0.96</v>
      </c>
      <c r="F79" s="5">
        <v>17.2</v>
      </c>
      <c r="G79" s="5">
        <f t="shared" si="2"/>
        <v>8.6</v>
      </c>
      <c r="H79" s="6">
        <f t="shared" si="3"/>
        <v>795.8</v>
      </c>
      <c r="I79" s="5">
        <v>31.5</v>
      </c>
      <c r="J79" s="5">
        <f t="shared" si="4"/>
        <v>7.88</v>
      </c>
      <c r="K79" s="6">
        <f t="shared" si="5"/>
        <v>720.8</v>
      </c>
      <c r="L79" s="5">
        <v>51.3</v>
      </c>
      <c r="M79" s="5">
        <f t="shared" si="6"/>
        <v>6.41</v>
      </c>
      <c r="N79" s="6">
        <f t="shared" si="7"/>
        <v>567.7</v>
      </c>
      <c r="O79" s="7">
        <v>18.0</v>
      </c>
      <c r="P79" s="5">
        <f t="shared" si="8"/>
        <v>6</v>
      </c>
      <c r="Q79" s="8">
        <f t="shared" si="9"/>
        <v>525</v>
      </c>
      <c r="R79" s="7">
        <v>26.0</v>
      </c>
      <c r="S79" s="5">
        <f t="shared" si="10"/>
        <v>5.2</v>
      </c>
      <c r="T79" s="8">
        <f t="shared" si="11"/>
        <v>441.7</v>
      </c>
      <c r="U79" s="7">
        <v>42.0</v>
      </c>
      <c r="V79" s="5">
        <f t="shared" si="12"/>
        <v>4.2</v>
      </c>
      <c r="W79" s="8">
        <f t="shared" si="13"/>
        <v>337.5</v>
      </c>
    </row>
    <row r="80" ht="15.75" customHeight="1">
      <c r="A80" s="4" t="s">
        <v>105</v>
      </c>
      <c r="B80" s="4">
        <v>52.73</v>
      </c>
      <c r="C80" s="4">
        <v>152.59</v>
      </c>
      <c r="D80" s="4">
        <v>100.0</v>
      </c>
      <c r="E80" s="5">
        <f t="shared" si="1"/>
        <v>1.53</v>
      </c>
      <c r="F80" s="5">
        <v>12.9</v>
      </c>
      <c r="G80" s="5">
        <f t="shared" si="2"/>
        <v>6.45</v>
      </c>
      <c r="H80" s="6">
        <f t="shared" si="3"/>
        <v>321.6</v>
      </c>
      <c r="I80" s="5">
        <v>22.8</v>
      </c>
      <c r="J80" s="5">
        <f t="shared" si="4"/>
        <v>5.7</v>
      </c>
      <c r="K80" s="6">
        <f t="shared" si="5"/>
        <v>272.5</v>
      </c>
      <c r="L80" s="5">
        <v>33.9</v>
      </c>
      <c r="M80" s="5">
        <f t="shared" si="6"/>
        <v>4.24</v>
      </c>
      <c r="N80" s="6">
        <f t="shared" si="7"/>
        <v>177.1</v>
      </c>
      <c r="O80" s="7">
        <v>27.0</v>
      </c>
      <c r="P80" s="5">
        <f t="shared" si="8"/>
        <v>9</v>
      </c>
      <c r="Q80" s="8">
        <f t="shared" si="9"/>
        <v>488.2</v>
      </c>
      <c r="R80" s="7">
        <v>39.0</v>
      </c>
      <c r="S80" s="5">
        <f t="shared" si="10"/>
        <v>7.8</v>
      </c>
      <c r="T80" s="8">
        <f t="shared" si="11"/>
        <v>409.8</v>
      </c>
      <c r="U80" s="7">
        <v>71.0</v>
      </c>
      <c r="V80" s="5">
        <f t="shared" si="12"/>
        <v>7.1</v>
      </c>
      <c r="W80" s="8">
        <f t="shared" si="13"/>
        <v>364.1</v>
      </c>
    </row>
    <row r="81" ht="15.75" customHeight="1">
      <c r="A81" s="4" t="s">
        <v>106</v>
      </c>
      <c r="B81" s="4">
        <v>72.71</v>
      </c>
      <c r="C81" s="4">
        <v>210.41</v>
      </c>
      <c r="D81" s="4">
        <v>100.0</v>
      </c>
      <c r="E81" s="5">
        <f t="shared" si="1"/>
        <v>2.1</v>
      </c>
      <c r="F81" s="5">
        <v>14.44</v>
      </c>
      <c r="G81" s="5">
        <f t="shared" si="2"/>
        <v>7.22</v>
      </c>
      <c r="H81" s="6">
        <f t="shared" si="3"/>
        <v>243.8</v>
      </c>
      <c r="I81" s="5">
        <v>25.92</v>
      </c>
      <c r="J81" s="5">
        <f t="shared" si="4"/>
        <v>6.48</v>
      </c>
      <c r="K81" s="6">
        <f t="shared" si="5"/>
        <v>208.6</v>
      </c>
      <c r="L81" s="5">
        <v>40.07</v>
      </c>
      <c r="M81" s="5">
        <f t="shared" si="6"/>
        <v>5.01</v>
      </c>
      <c r="N81" s="6">
        <f t="shared" si="7"/>
        <v>138.6</v>
      </c>
      <c r="O81" s="7">
        <v>26.0</v>
      </c>
      <c r="P81" s="5">
        <f t="shared" si="8"/>
        <v>8.67</v>
      </c>
      <c r="Q81" s="8">
        <f t="shared" si="9"/>
        <v>312.9</v>
      </c>
      <c r="R81" s="7">
        <v>38.0</v>
      </c>
      <c r="S81" s="5">
        <f t="shared" si="10"/>
        <v>7.6</v>
      </c>
      <c r="T81" s="8">
        <f t="shared" si="11"/>
        <v>261.9</v>
      </c>
      <c r="U81" s="7">
        <v>65.0</v>
      </c>
      <c r="V81" s="5">
        <f t="shared" si="12"/>
        <v>6.5</v>
      </c>
      <c r="W81" s="8">
        <f t="shared" si="13"/>
        <v>209.5</v>
      </c>
    </row>
    <row r="82" ht="15.75" customHeight="1">
      <c r="A82" s="4" t="s">
        <v>107</v>
      </c>
      <c r="B82" s="4">
        <v>104.9</v>
      </c>
      <c r="C82" s="4">
        <v>303.56</v>
      </c>
      <c r="D82" s="4">
        <v>100.0</v>
      </c>
      <c r="E82" s="5">
        <f t="shared" si="1"/>
        <v>3.04</v>
      </c>
      <c r="F82" s="5">
        <v>16.03</v>
      </c>
      <c r="G82" s="5">
        <f t="shared" si="2"/>
        <v>8.02</v>
      </c>
      <c r="H82" s="6">
        <f t="shared" si="3"/>
        <v>163.8</v>
      </c>
      <c r="I82" s="5">
        <v>29.11</v>
      </c>
      <c r="J82" s="5">
        <f t="shared" si="4"/>
        <v>7.28</v>
      </c>
      <c r="K82" s="6">
        <f t="shared" si="5"/>
        <v>139.5</v>
      </c>
      <c r="L82" s="5">
        <v>46.43</v>
      </c>
      <c r="M82" s="5">
        <f t="shared" si="6"/>
        <v>5.8</v>
      </c>
      <c r="N82" s="6">
        <f t="shared" si="7"/>
        <v>90.8</v>
      </c>
      <c r="O82" s="7">
        <v>28.0</v>
      </c>
      <c r="P82" s="5">
        <f t="shared" si="8"/>
        <v>9.33</v>
      </c>
      <c r="Q82" s="8">
        <f t="shared" si="9"/>
        <v>206.9</v>
      </c>
      <c r="R82" s="7">
        <v>39.0</v>
      </c>
      <c r="S82" s="5">
        <f t="shared" si="10"/>
        <v>7.8</v>
      </c>
      <c r="T82" s="8">
        <f t="shared" si="11"/>
        <v>156.6</v>
      </c>
      <c r="U82" s="7">
        <v>71.0</v>
      </c>
      <c r="V82" s="5">
        <f t="shared" si="12"/>
        <v>7.1</v>
      </c>
      <c r="W82" s="8">
        <f t="shared" si="13"/>
        <v>133.6</v>
      </c>
    </row>
    <row r="83" ht="15.75" customHeight="1">
      <c r="A83" s="4" t="s">
        <v>108</v>
      </c>
      <c r="B83" s="4">
        <v>57.72</v>
      </c>
      <c r="C83" s="4">
        <v>167.03</v>
      </c>
      <c r="D83" s="4">
        <v>100.0</v>
      </c>
      <c r="E83" s="5">
        <f t="shared" si="1"/>
        <v>1.67</v>
      </c>
      <c r="F83" s="5">
        <v>14.8</v>
      </c>
      <c r="G83" s="5">
        <f t="shared" si="2"/>
        <v>7.4</v>
      </c>
      <c r="H83" s="6">
        <f t="shared" si="3"/>
        <v>343.1</v>
      </c>
      <c r="I83" s="5">
        <v>26.63</v>
      </c>
      <c r="J83" s="5">
        <f t="shared" si="4"/>
        <v>6.66</v>
      </c>
      <c r="K83" s="6">
        <f t="shared" si="5"/>
        <v>298.8</v>
      </c>
      <c r="L83" s="5">
        <v>41.4</v>
      </c>
      <c r="M83" s="5">
        <f t="shared" si="6"/>
        <v>5.18</v>
      </c>
      <c r="N83" s="6">
        <f t="shared" si="7"/>
        <v>210.2</v>
      </c>
      <c r="O83" s="7">
        <v>22.0</v>
      </c>
      <c r="P83" s="5">
        <f t="shared" si="8"/>
        <v>7.33</v>
      </c>
      <c r="Q83" s="8">
        <f t="shared" si="9"/>
        <v>338.9</v>
      </c>
      <c r="R83" s="7">
        <v>32.0</v>
      </c>
      <c r="S83" s="5">
        <f t="shared" si="10"/>
        <v>6.4</v>
      </c>
      <c r="T83" s="8">
        <f t="shared" si="11"/>
        <v>283.2</v>
      </c>
      <c r="U83" s="7">
        <v>55.0</v>
      </c>
      <c r="V83" s="5">
        <f t="shared" si="12"/>
        <v>5.5</v>
      </c>
      <c r="W83" s="8">
        <f t="shared" si="13"/>
        <v>229.3</v>
      </c>
    </row>
    <row r="84" ht="15.75" customHeight="1">
      <c r="A84" s="4" t="s">
        <v>109</v>
      </c>
      <c r="B84" s="4">
        <v>56.06</v>
      </c>
      <c r="C84" s="4">
        <v>162.23</v>
      </c>
      <c r="D84" s="4">
        <v>100.0</v>
      </c>
      <c r="E84" s="5">
        <f t="shared" si="1"/>
        <v>1.62</v>
      </c>
      <c r="F84" s="5">
        <v>15.5</v>
      </c>
      <c r="G84" s="5">
        <f t="shared" si="2"/>
        <v>7.75</v>
      </c>
      <c r="H84" s="6">
        <f t="shared" si="3"/>
        <v>378.4</v>
      </c>
      <c r="I84" s="5">
        <v>28.1</v>
      </c>
      <c r="J84" s="5">
        <f t="shared" si="4"/>
        <v>7.03</v>
      </c>
      <c r="K84" s="6">
        <f t="shared" si="5"/>
        <v>334</v>
      </c>
      <c r="L84" s="5">
        <v>44.5</v>
      </c>
      <c r="M84" s="5">
        <f t="shared" si="6"/>
        <v>5.56</v>
      </c>
      <c r="N84" s="6">
        <f t="shared" si="7"/>
        <v>243.2</v>
      </c>
      <c r="O84" s="7">
        <v>22.0</v>
      </c>
      <c r="P84" s="5">
        <f t="shared" si="8"/>
        <v>7.33</v>
      </c>
      <c r="Q84" s="8">
        <f t="shared" si="9"/>
        <v>352.5</v>
      </c>
      <c r="R84" s="7">
        <v>32.0</v>
      </c>
      <c r="S84" s="5">
        <f t="shared" si="10"/>
        <v>6.4</v>
      </c>
      <c r="T84" s="8">
        <f t="shared" si="11"/>
        <v>295.1</v>
      </c>
      <c r="U84" s="7">
        <v>55.0</v>
      </c>
      <c r="V84" s="5">
        <f t="shared" si="12"/>
        <v>5.5</v>
      </c>
      <c r="W84" s="8">
        <f t="shared" si="13"/>
        <v>239.5</v>
      </c>
    </row>
    <row r="85" ht="15.75" customHeight="1">
      <c r="A85" s="4" t="s">
        <v>110</v>
      </c>
      <c r="B85" s="4">
        <v>256.41</v>
      </c>
      <c r="C85" s="4">
        <v>742.0</v>
      </c>
      <c r="D85" s="4">
        <v>100.0</v>
      </c>
      <c r="E85" s="5">
        <f t="shared" si="1"/>
        <v>7.42</v>
      </c>
      <c r="F85" s="5">
        <v>24.33</v>
      </c>
      <c r="G85" s="5">
        <f t="shared" si="2"/>
        <v>12.17</v>
      </c>
      <c r="H85" s="6">
        <f t="shared" si="3"/>
        <v>64</v>
      </c>
      <c r="I85" s="5">
        <v>47.68</v>
      </c>
      <c r="J85" s="5">
        <f t="shared" si="4"/>
        <v>11.92</v>
      </c>
      <c r="K85" s="6">
        <f t="shared" si="5"/>
        <v>60.6</v>
      </c>
      <c r="L85" s="5">
        <v>95.36</v>
      </c>
      <c r="M85" s="5">
        <f t="shared" si="6"/>
        <v>11.92</v>
      </c>
      <c r="N85" s="6">
        <f t="shared" si="7"/>
        <v>60.6</v>
      </c>
      <c r="O85" s="7">
        <v>60.0</v>
      </c>
      <c r="P85" s="5">
        <f t="shared" si="8"/>
        <v>20</v>
      </c>
      <c r="Q85" s="8">
        <f t="shared" si="9"/>
        <v>169.5</v>
      </c>
      <c r="R85" s="7">
        <v>85.0</v>
      </c>
      <c r="S85" s="5">
        <f t="shared" si="10"/>
        <v>17</v>
      </c>
      <c r="T85" s="8">
        <f t="shared" si="11"/>
        <v>129.1</v>
      </c>
      <c r="U85" s="7">
        <v>150.0</v>
      </c>
      <c r="V85" s="5">
        <f t="shared" si="12"/>
        <v>15</v>
      </c>
      <c r="W85" s="8">
        <f t="shared" si="13"/>
        <v>102.2</v>
      </c>
    </row>
    <row r="86" ht="15.75" customHeight="1">
      <c r="A86" s="4" t="s">
        <v>111</v>
      </c>
      <c r="B86" s="4">
        <v>35.74</v>
      </c>
      <c r="C86" s="4">
        <v>103.42</v>
      </c>
      <c r="D86" s="4">
        <v>90.0</v>
      </c>
      <c r="E86" s="5">
        <f t="shared" si="1"/>
        <v>1.15</v>
      </c>
      <c r="F86" s="5">
        <v>13.1</v>
      </c>
      <c r="G86" s="5">
        <f t="shared" si="2"/>
        <v>6.55</v>
      </c>
      <c r="H86" s="6">
        <f t="shared" si="3"/>
        <v>469.6</v>
      </c>
      <c r="I86" s="5">
        <v>23.3</v>
      </c>
      <c r="J86" s="5">
        <f t="shared" si="4"/>
        <v>5.83</v>
      </c>
      <c r="K86" s="6">
        <f t="shared" si="5"/>
        <v>407</v>
      </c>
      <c r="L86" s="5">
        <v>34.8</v>
      </c>
      <c r="M86" s="5">
        <f t="shared" si="6"/>
        <v>4.35</v>
      </c>
      <c r="N86" s="6">
        <f t="shared" si="7"/>
        <v>278.3</v>
      </c>
      <c r="O86" s="7">
        <v>18.0</v>
      </c>
      <c r="P86" s="5">
        <f t="shared" si="8"/>
        <v>6</v>
      </c>
      <c r="Q86" s="8">
        <f t="shared" si="9"/>
        <v>421.7</v>
      </c>
      <c r="R86" s="7">
        <v>26.0</v>
      </c>
      <c r="S86" s="5">
        <f t="shared" si="10"/>
        <v>5.2</v>
      </c>
      <c r="T86" s="8">
        <f t="shared" si="11"/>
        <v>352.2</v>
      </c>
      <c r="U86" s="7">
        <v>42.0</v>
      </c>
      <c r="V86" s="5">
        <f t="shared" si="12"/>
        <v>4.2</v>
      </c>
      <c r="W86" s="8">
        <f t="shared" si="13"/>
        <v>265.2</v>
      </c>
    </row>
    <row r="87" ht="15.75" customHeight="1">
      <c r="A87" s="4" t="s">
        <v>112</v>
      </c>
      <c r="B87" s="4">
        <v>91.63</v>
      </c>
      <c r="C87" s="4">
        <v>265.16</v>
      </c>
      <c r="D87" s="4">
        <v>90.0</v>
      </c>
      <c r="E87" s="5">
        <f t="shared" si="1"/>
        <v>2.95</v>
      </c>
      <c r="F87" s="5">
        <v>13.37</v>
      </c>
      <c r="G87" s="5">
        <f t="shared" si="2"/>
        <v>6.69</v>
      </c>
      <c r="H87" s="6">
        <f t="shared" si="3"/>
        <v>126.8</v>
      </c>
      <c r="I87" s="5">
        <v>23.8</v>
      </c>
      <c r="J87" s="5">
        <f t="shared" si="4"/>
        <v>5.95</v>
      </c>
      <c r="K87" s="6">
        <f t="shared" si="5"/>
        <v>101.7</v>
      </c>
      <c r="L87" s="5">
        <v>35.82</v>
      </c>
      <c r="M87" s="5">
        <f t="shared" si="6"/>
        <v>4.48</v>
      </c>
      <c r="N87" s="6">
        <f t="shared" si="7"/>
        <v>51.9</v>
      </c>
      <c r="O87" s="7">
        <v>32.0</v>
      </c>
      <c r="P87" s="5">
        <f t="shared" si="8"/>
        <v>10.67</v>
      </c>
      <c r="Q87" s="8">
        <f t="shared" si="9"/>
        <v>261.7</v>
      </c>
      <c r="R87" s="7">
        <v>48.0</v>
      </c>
      <c r="S87" s="5">
        <f t="shared" si="10"/>
        <v>9.6</v>
      </c>
      <c r="T87" s="8">
        <f t="shared" si="11"/>
        <v>225.4</v>
      </c>
      <c r="U87" s="7">
        <v>86.0</v>
      </c>
      <c r="V87" s="5">
        <f t="shared" si="12"/>
        <v>8.6</v>
      </c>
      <c r="W87" s="8">
        <f t="shared" si="13"/>
        <v>191.5</v>
      </c>
    </row>
    <row r="88" ht="15.75" customHeight="1">
      <c r="A88" s="9"/>
      <c r="B88" s="10"/>
      <c r="C88" s="11"/>
      <c r="D88" s="9"/>
      <c r="E88" s="12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4" t="s">
        <v>113</v>
      </c>
      <c r="B89" s="15"/>
      <c r="C89" s="16">
        <v>119.17</v>
      </c>
      <c r="D89" s="14">
        <v>100.0</v>
      </c>
      <c r="E89" s="5">
        <f t="shared" ref="E89:E103" si="14">IF(OR(D89="",D89=0),"",ROUND(C89/D89,2))</f>
        <v>1.19</v>
      </c>
      <c r="F89" s="5"/>
      <c r="G89" s="5"/>
      <c r="H89" s="6"/>
      <c r="I89" s="5"/>
      <c r="J89" s="5"/>
      <c r="K89" s="6"/>
      <c r="L89" s="7"/>
      <c r="M89" s="5"/>
      <c r="N89" s="6"/>
      <c r="O89" s="7">
        <v>12.0</v>
      </c>
      <c r="P89" s="5">
        <f t="shared" ref="P89:P103" si="15">IF(O89="","",ROUND(O89/3,2))</f>
        <v>4</v>
      </c>
      <c r="Q89" s="8">
        <f t="shared" ref="Q89:Q103" si="16">IF(OR(E89="",E89=0,P89=""),"",ROUND((P89/E89-1)*100,1))</f>
        <v>236.1</v>
      </c>
      <c r="R89" s="7">
        <v>18.0</v>
      </c>
      <c r="S89" s="5">
        <f t="shared" ref="S89:S103" si="17">IF(R89="","",ROUND(R89/5,2))</f>
        <v>3.6</v>
      </c>
      <c r="T89" s="8">
        <f t="shared" ref="T89:T103" si="18">IF(OR(E89="",E89=0,S89=""),"",ROUND((S89/E89-1)*100,1))</f>
        <v>202.5</v>
      </c>
      <c r="U89" s="7">
        <v>33.0</v>
      </c>
      <c r="V89" s="5">
        <f t="shared" ref="V89:V103" si="19">IF(U89="","",ROUND(U89/10,2))</f>
        <v>3.3</v>
      </c>
      <c r="W89" s="8">
        <f t="shared" ref="W89:W103" si="20">IF(OR(E89="",E89=0,V89=""),"",ROUND((V89/E89-1)*100,1))</f>
        <v>177.3</v>
      </c>
    </row>
    <row r="90" ht="15.75" customHeight="1">
      <c r="A90" s="14" t="s">
        <v>114</v>
      </c>
      <c r="B90" s="15"/>
      <c r="C90" s="16">
        <v>256.98</v>
      </c>
      <c r="D90" s="14">
        <v>75.0</v>
      </c>
      <c r="E90" s="5">
        <f t="shared" si="14"/>
        <v>3.43</v>
      </c>
      <c r="F90" s="5">
        <v>13.37</v>
      </c>
      <c r="G90" s="5">
        <f t="shared" ref="G90:G103" si="21">IF(F90="","",ROUND(F90/2,2))</f>
        <v>6.69</v>
      </c>
      <c r="H90" s="6">
        <f t="shared" ref="H90:H103" si="22">IF(OR(E90="",E90=0,G90=""),"",ROUND((G90/E90-1)*100,1))</f>
        <v>95</v>
      </c>
      <c r="I90" s="5">
        <v>23.8</v>
      </c>
      <c r="J90" s="5">
        <f t="shared" ref="J90:J103" si="23">IF(I90="","",ROUND(I90/4,2))</f>
        <v>5.95</v>
      </c>
      <c r="K90" s="6">
        <f t="shared" ref="K90:K103" si="24">IF(OR(E90="",E90=0,J90=""),"",ROUND((J90/E90-1)*100,1))</f>
        <v>73.5</v>
      </c>
      <c r="L90" s="5">
        <v>35.82</v>
      </c>
      <c r="M90" s="5">
        <f t="shared" ref="M90:M103" si="25">IF(L90="","",ROUND(L90/8,2))</f>
        <v>4.48</v>
      </c>
      <c r="N90" s="6">
        <f t="shared" ref="N90:N103" si="26">IF(OR(E90="",E90=0,M90=""),"",ROUND((M90/E90-1)*100,1))</f>
        <v>30.6</v>
      </c>
      <c r="O90" s="7">
        <v>28.0</v>
      </c>
      <c r="P90" s="5">
        <f t="shared" si="15"/>
        <v>9.33</v>
      </c>
      <c r="Q90" s="8">
        <f t="shared" si="16"/>
        <v>172</v>
      </c>
      <c r="R90" s="7">
        <v>39.0</v>
      </c>
      <c r="S90" s="5">
        <f t="shared" si="17"/>
        <v>7.8</v>
      </c>
      <c r="T90" s="8">
        <f t="shared" si="18"/>
        <v>127.4</v>
      </c>
      <c r="U90" s="7">
        <v>71.0</v>
      </c>
      <c r="V90" s="5">
        <f t="shared" si="19"/>
        <v>7.1</v>
      </c>
      <c r="W90" s="8">
        <f t="shared" si="20"/>
        <v>107</v>
      </c>
    </row>
    <row r="91" ht="15.75" customHeight="1">
      <c r="A91" s="14" t="s">
        <v>115</v>
      </c>
      <c r="B91" s="15"/>
      <c r="C91" s="16">
        <v>230.82</v>
      </c>
      <c r="D91" s="14">
        <v>100.0</v>
      </c>
      <c r="E91" s="5">
        <f t="shared" si="14"/>
        <v>2.31</v>
      </c>
      <c r="F91" s="5">
        <v>13.37</v>
      </c>
      <c r="G91" s="5">
        <f t="shared" si="21"/>
        <v>6.69</v>
      </c>
      <c r="H91" s="6">
        <f t="shared" si="22"/>
        <v>189.6</v>
      </c>
      <c r="I91" s="5">
        <v>23.8</v>
      </c>
      <c r="J91" s="5">
        <f t="shared" si="23"/>
        <v>5.95</v>
      </c>
      <c r="K91" s="6">
        <f t="shared" si="24"/>
        <v>157.6</v>
      </c>
      <c r="L91" s="5">
        <v>35.82</v>
      </c>
      <c r="M91" s="5">
        <f t="shared" si="25"/>
        <v>4.48</v>
      </c>
      <c r="N91" s="6">
        <f t="shared" si="26"/>
        <v>93.9</v>
      </c>
      <c r="O91" s="7">
        <v>22.0</v>
      </c>
      <c r="P91" s="5">
        <f t="shared" si="15"/>
        <v>7.33</v>
      </c>
      <c r="Q91" s="8">
        <f t="shared" si="16"/>
        <v>217.3</v>
      </c>
      <c r="R91" s="7">
        <v>32.0</v>
      </c>
      <c r="S91" s="5">
        <f t="shared" si="17"/>
        <v>6.4</v>
      </c>
      <c r="T91" s="8">
        <f t="shared" si="18"/>
        <v>177.1</v>
      </c>
      <c r="U91" s="7">
        <v>55.0</v>
      </c>
      <c r="V91" s="5">
        <f t="shared" si="19"/>
        <v>5.5</v>
      </c>
      <c r="W91" s="8">
        <f t="shared" si="20"/>
        <v>138.1</v>
      </c>
    </row>
    <row r="92" ht="15.75" customHeight="1">
      <c r="A92" s="14" t="s">
        <v>116</v>
      </c>
      <c r="B92" s="15"/>
      <c r="C92" s="16">
        <v>146.83</v>
      </c>
      <c r="D92" s="14">
        <v>75.0</v>
      </c>
      <c r="E92" s="5">
        <f t="shared" si="14"/>
        <v>1.96</v>
      </c>
      <c r="F92" s="5">
        <v>13.37</v>
      </c>
      <c r="G92" s="5">
        <f t="shared" si="21"/>
        <v>6.69</v>
      </c>
      <c r="H92" s="6">
        <f t="shared" si="22"/>
        <v>241.3</v>
      </c>
      <c r="I92" s="5">
        <v>23.8</v>
      </c>
      <c r="J92" s="5">
        <f t="shared" si="23"/>
        <v>5.95</v>
      </c>
      <c r="K92" s="6">
        <f t="shared" si="24"/>
        <v>203.6</v>
      </c>
      <c r="L92" s="5">
        <v>35.82</v>
      </c>
      <c r="M92" s="5">
        <f t="shared" si="25"/>
        <v>4.48</v>
      </c>
      <c r="N92" s="6">
        <f t="shared" si="26"/>
        <v>128.6</v>
      </c>
      <c r="O92" s="7">
        <v>18.0</v>
      </c>
      <c r="P92" s="5">
        <f t="shared" si="15"/>
        <v>6</v>
      </c>
      <c r="Q92" s="8">
        <f t="shared" si="16"/>
        <v>206.1</v>
      </c>
      <c r="R92" s="7">
        <v>26.0</v>
      </c>
      <c r="S92" s="5">
        <f t="shared" si="17"/>
        <v>5.2</v>
      </c>
      <c r="T92" s="8">
        <f t="shared" si="18"/>
        <v>165.3</v>
      </c>
      <c r="U92" s="7">
        <v>42.0</v>
      </c>
      <c r="V92" s="5">
        <f t="shared" si="19"/>
        <v>4.2</v>
      </c>
      <c r="W92" s="8">
        <f t="shared" si="20"/>
        <v>114.3</v>
      </c>
    </row>
    <row r="93" ht="15.75" customHeight="1">
      <c r="A93" s="14" t="s">
        <v>117</v>
      </c>
      <c r="B93" s="15"/>
      <c r="C93" s="16">
        <v>344.02</v>
      </c>
      <c r="D93" s="14">
        <v>100.0</v>
      </c>
      <c r="E93" s="5">
        <f t="shared" si="14"/>
        <v>3.44</v>
      </c>
      <c r="F93" s="5">
        <v>13.37</v>
      </c>
      <c r="G93" s="5">
        <f t="shared" si="21"/>
        <v>6.69</v>
      </c>
      <c r="H93" s="6">
        <f t="shared" si="22"/>
        <v>94.5</v>
      </c>
      <c r="I93" s="5">
        <v>23.8</v>
      </c>
      <c r="J93" s="5">
        <f t="shared" si="23"/>
        <v>5.95</v>
      </c>
      <c r="K93" s="6">
        <f t="shared" si="24"/>
        <v>73</v>
      </c>
      <c r="L93" s="5">
        <v>35.82</v>
      </c>
      <c r="M93" s="5">
        <f t="shared" si="25"/>
        <v>4.48</v>
      </c>
      <c r="N93" s="6">
        <f t="shared" si="26"/>
        <v>30.2</v>
      </c>
      <c r="O93" s="7">
        <v>28.0</v>
      </c>
      <c r="P93" s="5">
        <f t="shared" si="15"/>
        <v>9.33</v>
      </c>
      <c r="Q93" s="8">
        <f t="shared" si="16"/>
        <v>171.2</v>
      </c>
      <c r="R93" s="7">
        <v>39.0</v>
      </c>
      <c r="S93" s="5">
        <f t="shared" si="17"/>
        <v>7.8</v>
      </c>
      <c r="T93" s="8">
        <f t="shared" si="18"/>
        <v>126.7</v>
      </c>
      <c r="U93" s="7">
        <v>71.0</v>
      </c>
      <c r="V93" s="5">
        <f t="shared" si="19"/>
        <v>7.1</v>
      </c>
      <c r="W93" s="8">
        <f t="shared" si="20"/>
        <v>106.4</v>
      </c>
    </row>
    <row r="94" ht="15.75" customHeight="1">
      <c r="A94" s="14" t="s">
        <v>118</v>
      </c>
      <c r="B94" s="15"/>
      <c r="C94" s="16">
        <v>211.85</v>
      </c>
      <c r="D94" s="14">
        <v>100.0</v>
      </c>
      <c r="E94" s="5">
        <f t="shared" si="14"/>
        <v>2.12</v>
      </c>
      <c r="F94" s="5">
        <v>13.37</v>
      </c>
      <c r="G94" s="5">
        <f t="shared" si="21"/>
        <v>6.69</v>
      </c>
      <c r="H94" s="6">
        <f t="shared" si="22"/>
        <v>215.6</v>
      </c>
      <c r="I94" s="5">
        <v>23.8</v>
      </c>
      <c r="J94" s="5">
        <f t="shared" si="23"/>
        <v>5.95</v>
      </c>
      <c r="K94" s="6">
        <f t="shared" si="24"/>
        <v>180.7</v>
      </c>
      <c r="L94" s="5">
        <v>35.82</v>
      </c>
      <c r="M94" s="5">
        <f t="shared" si="25"/>
        <v>4.48</v>
      </c>
      <c r="N94" s="6">
        <f t="shared" si="26"/>
        <v>111.3</v>
      </c>
      <c r="O94" s="7">
        <v>22.0</v>
      </c>
      <c r="P94" s="5">
        <f t="shared" si="15"/>
        <v>7.33</v>
      </c>
      <c r="Q94" s="8">
        <f t="shared" si="16"/>
        <v>245.8</v>
      </c>
      <c r="R94" s="7">
        <v>32.0</v>
      </c>
      <c r="S94" s="5">
        <f t="shared" si="17"/>
        <v>6.4</v>
      </c>
      <c r="T94" s="8">
        <f t="shared" si="18"/>
        <v>201.9</v>
      </c>
      <c r="U94" s="7">
        <v>55.0</v>
      </c>
      <c r="V94" s="5">
        <f t="shared" si="19"/>
        <v>5.5</v>
      </c>
      <c r="W94" s="8">
        <f t="shared" si="20"/>
        <v>159.4</v>
      </c>
    </row>
    <row r="95" ht="15.75" customHeight="1">
      <c r="A95" s="14" t="s">
        <v>119</v>
      </c>
      <c r="B95" s="14">
        <v>140.69</v>
      </c>
      <c r="C95" s="15">
        <f t="shared" ref="C95:C103" si="27">B95*2.95</f>
        <v>415.0355</v>
      </c>
      <c r="D95" s="14">
        <v>100.0</v>
      </c>
      <c r="E95" s="5">
        <f t="shared" si="14"/>
        <v>4.15</v>
      </c>
      <c r="F95" s="5">
        <v>13.37</v>
      </c>
      <c r="G95" s="5">
        <f t="shared" si="21"/>
        <v>6.69</v>
      </c>
      <c r="H95" s="6">
        <f t="shared" si="22"/>
        <v>61.2</v>
      </c>
      <c r="I95" s="5">
        <v>23.8</v>
      </c>
      <c r="J95" s="5">
        <f t="shared" si="23"/>
        <v>5.95</v>
      </c>
      <c r="K95" s="6">
        <f t="shared" si="24"/>
        <v>43.4</v>
      </c>
      <c r="L95" s="5">
        <v>35.82</v>
      </c>
      <c r="M95" s="5">
        <f t="shared" si="25"/>
        <v>4.48</v>
      </c>
      <c r="N95" s="6">
        <f t="shared" si="26"/>
        <v>8</v>
      </c>
      <c r="O95" s="7">
        <v>35.0</v>
      </c>
      <c r="P95" s="5">
        <f t="shared" si="15"/>
        <v>11.67</v>
      </c>
      <c r="Q95" s="8">
        <f t="shared" si="16"/>
        <v>181.2</v>
      </c>
      <c r="R95" s="7">
        <v>50.0</v>
      </c>
      <c r="S95" s="5">
        <f t="shared" si="17"/>
        <v>10</v>
      </c>
      <c r="T95" s="8">
        <f t="shared" si="18"/>
        <v>141</v>
      </c>
      <c r="U95" s="7">
        <v>90.0</v>
      </c>
      <c r="V95" s="5">
        <f t="shared" si="19"/>
        <v>9</v>
      </c>
      <c r="W95" s="8">
        <f t="shared" si="20"/>
        <v>116.9</v>
      </c>
    </row>
    <row r="96" ht="15.75" customHeight="1">
      <c r="A96" s="14" t="s">
        <v>120</v>
      </c>
      <c r="B96" s="14">
        <v>156.31</v>
      </c>
      <c r="C96" s="15">
        <f t="shared" si="27"/>
        <v>461.1145</v>
      </c>
      <c r="D96" s="14">
        <v>100.0</v>
      </c>
      <c r="E96" s="5">
        <f t="shared" si="14"/>
        <v>4.61</v>
      </c>
      <c r="F96" s="5">
        <v>13.37</v>
      </c>
      <c r="G96" s="5">
        <f t="shared" si="21"/>
        <v>6.69</v>
      </c>
      <c r="H96" s="6">
        <f t="shared" si="22"/>
        <v>45.1</v>
      </c>
      <c r="I96" s="5">
        <v>23.8</v>
      </c>
      <c r="J96" s="5">
        <f t="shared" si="23"/>
        <v>5.95</v>
      </c>
      <c r="K96" s="6">
        <f t="shared" si="24"/>
        <v>29.1</v>
      </c>
      <c r="L96" s="5">
        <v>35.82</v>
      </c>
      <c r="M96" s="5">
        <f t="shared" si="25"/>
        <v>4.48</v>
      </c>
      <c r="N96" s="6">
        <f t="shared" si="26"/>
        <v>-2.8</v>
      </c>
      <c r="O96" s="7">
        <v>35.0</v>
      </c>
      <c r="P96" s="5">
        <f t="shared" si="15"/>
        <v>11.67</v>
      </c>
      <c r="Q96" s="8">
        <f t="shared" si="16"/>
        <v>153.1</v>
      </c>
      <c r="R96" s="7">
        <v>50.0</v>
      </c>
      <c r="S96" s="5">
        <f t="shared" si="17"/>
        <v>10</v>
      </c>
      <c r="T96" s="8">
        <f t="shared" si="18"/>
        <v>116.9</v>
      </c>
      <c r="U96" s="7">
        <v>90.0</v>
      </c>
      <c r="V96" s="5">
        <f t="shared" si="19"/>
        <v>9</v>
      </c>
      <c r="W96" s="8">
        <f t="shared" si="20"/>
        <v>95.2</v>
      </c>
    </row>
    <row r="97" ht="15.75" customHeight="1">
      <c r="A97" s="14" t="s">
        <v>121</v>
      </c>
      <c r="B97" s="14">
        <v>214.06</v>
      </c>
      <c r="C97" s="15">
        <f t="shared" si="27"/>
        <v>631.477</v>
      </c>
      <c r="D97" s="14">
        <v>150.0</v>
      </c>
      <c r="E97" s="5">
        <f t="shared" si="14"/>
        <v>4.21</v>
      </c>
      <c r="F97" s="5">
        <v>13.37</v>
      </c>
      <c r="G97" s="5">
        <f t="shared" si="21"/>
        <v>6.69</v>
      </c>
      <c r="H97" s="6">
        <f t="shared" si="22"/>
        <v>58.9</v>
      </c>
      <c r="I97" s="5">
        <v>23.8</v>
      </c>
      <c r="J97" s="5">
        <f t="shared" si="23"/>
        <v>5.95</v>
      </c>
      <c r="K97" s="6">
        <f t="shared" si="24"/>
        <v>41.3</v>
      </c>
      <c r="L97" s="5">
        <v>35.82</v>
      </c>
      <c r="M97" s="5">
        <f t="shared" si="25"/>
        <v>4.48</v>
      </c>
      <c r="N97" s="6">
        <f t="shared" si="26"/>
        <v>6.4</v>
      </c>
      <c r="O97" s="7">
        <v>45.0</v>
      </c>
      <c r="P97" s="5">
        <f t="shared" si="15"/>
        <v>15</v>
      </c>
      <c r="Q97" s="8">
        <f t="shared" si="16"/>
        <v>256.3</v>
      </c>
      <c r="R97" s="7">
        <v>70.0</v>
      </c>
      <c r="S97" s="5">
        <f t="shared" si="17"/>
        <v>14</v>
      </c>
      <c r="T97" s="8">
        <f t="shared" si="18"/>
        <v>232.5</v>
      </c>
      <c r="U97" s="7">
        <v>125.0</v>
      </c>
      <c r="V97" s="5">
        <f t="shared" si="19"/>
        <v>12.5</v>
      </c>
      <c r="W97" s="8">
        <f t="shared" si="20"/>
        <v>196.9</v>
      </c>
    </row>
    <row r="98" ht="15.75" customHeight="1">
      <c r="A98" s="14" t="s">
        <v>122</v>
      </c>
      <c r="B98" s="14">
        <v>82.83</v>
      </c>
      <c r="C98" s="15">
        <f t="shared" si="27"/>
        <v>244.3485</v>
      </c>
      <c r="D98" s="14">
        <v>100.0</v>
      </c>
      <c r="E98" s="5">
        <f t="shared" si="14"/>
        <v>2.44</v>
      </c>
      <c r="F98" s="5">
        <v>13.37</v>
      </c>
      <c r="G98" s="5">
        <f t="shared" si="21"/>
        <v>6.69</v>
      </c>
      <c r="H98" s="6">
        <f t="shared" si="22"/>
        <v>174.2</v>
      </c>
      <c r="I98" s="5">
        <v>23.8</v>
      </c>
      <c r="J98" s="5">
        <f t="shared" si="23"/>
        <v>5.95</v>
      </c>
      <c r="K98" s="6">
        <f t="shared" si="24"/>
        <v>143.9</v>
      </c>
      <c r="L98" s="5">
        <v>35.82</v>
      </c>
      <c r="M98" s="5">
        <f t="shared" si="25"/>
        <v>4.48</v>
      </c>
      <c r="N98" s="6">
        <f t="shared" si="26"/>
        <v>83.6</v>
      </c>
      <c r="O98" s="7">
        <v>27.0</v>
      </c>
      <c r="P98" s="5">
        <f t="shared" si="15"/>
        <v>9</v>
      </c>
      <c r="Q98" s="8">
        <f t="shared" si="16"/>
        <v>268.9</v>
      </c>
      <c r="R98" s="7">
        <v>39.0</v>
      </c>
      <c r="S98" s="5">
        <f t="shared" si="17"/>
        <v>7.8</v>
      </c>
      <c r="T98" s="8">
        <f t="shared" si="18"/>
        <v>219.7</v>
      </c>
      <c r="U98" s="7">
        <v>71.0</v>
      </c>
      <c r="V98" s="5">
        <f t="shared" si="19"/>
        <v>7.1</v>
      </c>
      <c r="W98" s="8">
        <f t="shared" si="20"/>
        <v>191</v>
      </c>
    </row>
    <row r="99" ht="15.75" customHeight="1">
      <c r="A99" s="14" t="s">
        <v>123</v>
      </c>
      <c r="B99" s="14">
        <v>114.73</v>
      </c>
      <c r="C99" s="15">
        <f t="shared" si="27"/>
        <v>338.4535</v>
      </c>
      <c r="D99" s="14">
        <v>100.0</v>
      </c>
      <c r="E99" s="5">
        <f t="shared" si="14"/>
        <v>3.38</v>
      </c>
      <c r="F99" s="5">
        <v>13.37</v>
      </c>
      <c r="G99" s="5">
        <f t="shared" si="21"/>
        <v>6.69</v>
      </c>
      <c r="H99" s="6">
        <f t="shared" si="22"/>
        <v>97.9</v>
      </c>
      <c r="I99" s="5">
        <v>23.8</v>
      </c>
      <c r="J99" s="5">
        <f t="shared" si="23"/>
        <v>5.95</v>
      </c>
      <c r="K99" s="6">
        <f t="shared" si="24"/>
        <v>76</v>
      </c>
      <c r="L99" s="5">
        <v>35.82</v>
      </c>
      <c r="M99" s="5">
        <f t="shared" si="25"/>
        <v>4.48</v>
      </c>
      <c r="N99" s="6">
        <f t="shared" si="26"/>
        <v>32.5</v>
      </c>
      <c r="O99" s="7">
        <v>30.0</v>
      </c>
      <c r="P99" s="5">
        <f t="shared" si="15"/>
        <v>10</v>
      </c>
      <c r="Q99" s="8">
        <f t="shared" si="16"/>
        <v>195.9</v>
      </c>
      <c r="R99" s="7">
        <v>42.0</v>
      </c>
      <c r="S99" s="5">
        <f t="shared" si="17"/>
        <v>8.4</v>
      </c>
      <c r="T99" s="8">
        <f t="shared" si="18"/>
        <v>148.5</v>
      </c>
      <c r="U99" s="7">
        <v>75.0</v>
      </c>
      <c r="V99" s="5">
        <f t="shared" si="19"/>
        <v>7.5</v>
      </c>
      <c r="W99" s="8">
        <f t="shared" si="20"/>
        <v>121.9</v>
      </c>
    </row>
    <row r="100" ht="15.75" customHeight="1">
      <c r="A100" s="14" t="s">
        <v>124</v>
      </c>
      <c r="B100" s="14">
        <v>138.38</v>
      </c>
      <c r="C100" s="15">
        <f t="shared" si="27"/>
        <v>408.221</v>
      </c>
      <c r="D100" s="14">
        <v>75.0</v>
      </c>
      <c r="E100" s="5">
        <f t="shared" si="14"/>
        <v>5.44</v>
      </c>
      <c r="F100" s="5">
        <v>13.37</v>
      </c>
      <c r="G100" s="5">
        <f t="shared" si="21"/>
        <v>6.69</v>
      </c>
      <c r="H100" s="6">
        <f t="shared" si="22"/>
        <v>23</v>
      </c>
      <c r="I100" s="5">
        <v>23.8</v>
      </c>
      <c r="J100" s="5">
        <f t="shared" si="23"/>
        <v>5.95</v>
      </c>
      <c r="K100" s="6">
        <f t="shared" si="24"/>
        <v>9.4</v>
      </c>
      <c r="L100" s="5">
        <v>35.82</v>
      </c>
      <c r="M100" s="5">
        <f t="shared" si="25"/>
        <v>4.48</v>
      </c>
      <c r="N100" s="6">
        <f t="shared" si="26"/>
        <v>-17.6</v>
      </c>
      <c r="O100" s="7">
        <v>45.0</v>
      </c>
      <c r="P100" s="5">
        <f t="shared" si="15"/>
        <v>15</v>
      </c>
      <c r="Q100" s="8">
        <f t="shared" si="16"/>
        <v>175.7</v>
      </c>
      <c r="R100" s="7">
        <v>65.0</v>
      </c>
      <c r="S100" s="5">
        <f t="shared" si="17"/>
        <v>13</v>
      </c>
      <c r="T100" s="8">
        <f t="shared" si="18"/>
        <v>139</v>
      </c>
      <c r="U100" s="7">
        <v>105.0</v>
      </c>
      <c r="V100" s="5">
        <f t="shared" si="19"/>
        <v>10.5</v>
      </c>
      <c r="W100" s="8">
        <f t="shared" si="20"/>
        <v>93</v>
      </c>
    </row>
    <row r="101" ht="15.75" customHeight="1">
      <c r="A101" s="14" t="s">
        <v>125</v>
      </c>
      <c r="B101" s="14">
        <v>135.08</v>
      </c>
      <c r="C101" s="15">
        <f t="shared" si="27"/>
        <v>398.486</v>
      </c>
      <c r="D101" s="14">
        <v>75.0</v>
      </c>
      <c r="E101" s="5">
        <f t="shared" si="14"/>
        <v>5.31</v>
      </c>
      <c r="F101" s="5">
        <v>13.37</v>
      </c>
      <c r="G101" s="5">
        <f t="shared" si="21"/>
        <v>6.69</v>
      </c>
      <c r="H101" s="6">
        <f t="shared" si="22"/>
        <v>26</v>
      </c>
      <c r="I101" s="5">
        <v>23.8</v>
      </c>
      <c r="J101" s="5">
        <f t="shared" si="23"/>
        <v>5.95</v>
      </c>
      <c r="K101" s="6">
        <f t="shared" si="24"/>
        <v>12.1</v>
      </c>
      <c r="L101" s="5">
        <v>35.82</v>
      </c>
      <c r="M101" s="5">
        <f t="shared" si="25"/>
        <v>4.48</v>
      </c>
      <c r="N101" s="6">
        <f t="shared" si="26"/>
        <v>-15.6</v>
      </c>
      <c r="O101" s="7">
        <v>45.0</v>
      </c>
      <c r="P101" s="5">
        <f t="shared" si="15"/>
        <v>15</v>
      </c>
      <c r="Q101" s="8">
        <f t="shared" si="16"/>
        <v>182.5</v>
      </c>
      <c r="R101" s="7">
        <v>65.0</v>
      </c>
      <c r="S101" s="5">
        <f t="shared" si="17"/>
        <v>13</v>
      </c>
      <c r="T101" s="8">
        <f t="shared" si="18"/>
        <v>144.8</v>
      </c>
      <c r="U101" s="7">
        <v>105.0</v>
      </c>
      <c r="V101" s="5">
        <f t="shared" si="19"/>
        <v>10.5</v>
      </c>
      <c r="W101" s="8">
        <f t="shared" si="20"/>
        <v>97.7</v>
      </c>
    </row>
    <row r="102" ht="15.75" customHeight="1">
      <c r="A102" s="14" t="s">
        <v>126</v>
      </c>
      <c r="B102" s="14">
        <v>56.21</v>
      </c>
      <c r="C102" s="15">
        <f t="shared" si="27"/>
        <v>165.8195</v>
      </c>
      <c r="D102" s="14">
        <v>100.0</v>
      </c>
      <c r="E102" s="5">
        <f t="shared" si="14"/>
        <v>1.66</v>
      </c>
      <c r="F102" s="5">
        <v>13.37</v>
      </c>
      <c r="G102" s="5">
        <f t="shared" si="21"/>
        <v>6.69</v>
      </c>
      <c r="H102" s="6">
        <f t="shared" si="22"/>
        <v>303</v>
      </c>
      <c r="I102" s="5">
        <v>23.8</v>
      </c>
      <c r="J102" s="5">
        <f t="shared" si="23"/>
        <v>5.95</v>
      </c>
      <c r="K102" s="6">
        <f t="shared" si="24"/>
        <v>258.4</v>
      </c>
      <c r="L102" s="5">
        <v>35.82</v>
      </c>
      <c r="M102" s="5">
        <f t="shared" si="25"/>
        <v>4.48</v>
      </c>
      <c r="N102" s="6">
        <f t="shared" si="26"/>
        <v>169.9</v>
      </c>
      <c r="O102" s="7">
        <v>22.0</v>
      </c>
      <c r="P102" s="5">
        <f t="shared" si="15"/>
        <v>7.33</v>
      </c>
      <c r="Q102" s="8">
        <f t="shared" si="16"/>
        <v>341.6</v>
      </c>
      <c r="R102" s="7">
        <v>32.0</v>
      </c>
      <c r="S102" s="5">
        <f t="shared" si="17"/>
        <v>6.4</v>
      </c>
      <c r="T102" s="8">
        <f t="shared" si="18"/>
        <v>285.5</v>
      </c>
      <c r="U102" s="7">
        <v>55.0</v>
      </c>
      <c r="V102" s="5">
        <f t="shared" si="19"/>
        <v>5.5</v>
      </c>
      <c r="W102" s="8">
        <f t="shared" si="20"/>
        <v>231.3</v>
      </c>
    </row>
    <row r="103" ht="15.75" customHeight="1">
      <c r="A103" s="17" t="s">
        <v>127</v>
      </c>
      <c r="B103" s="17">
        <v>35.53</v>
      </c>
      <c r="C103" s="18">
        <f t="shared" si="27"/>
        <v>104.8135</v>
      </c>
      <c r="D103" s="17">
        <v>100.0</v>
      </c>
      <c r="E103" s="19">
        <f t="shared" si="14"/>
        <v>1.05</v>
      </c>
      <c r="F103" s="5">
        <v>13.37</v>
      </c>
      <c r="G103" s="5">
        <f t="shared" si="21"/>
        <v>6.69</v>
      </c>
      <c r="H103" s="6">
        <f t="shared" si="22"/>
        <v>537.1</v>
      </c>
      <c r="I103" s="5">
        <v>23.8</v>
      </c>
      <c r="J103" s="5">
        <f t="shared" si="23"/>
        <v>5.95</v>
      </c>
      <c r="K103" s="6">
        <f t="shared" si="24"/>
        <v>466.7</v>
      </c>
      <c r="L103" s="5">
        <v>35.82</v>
      </c>
      <c r="M103" s="5">
        <f t="shared" si="25"/>
        <v>4.48</v>
      </c>
      <c r="N103" s="6">
        <f t="shared" si="26"/>
        <v>326.7</v>
      </c>
      <c r="O103" s="7">
        <v>20.0</v>
      </c>
      <c r="P103" s="5">
        <f t="shared" si="15"/>
        <v>6.67</v>
      </c>
      <c r="Q103" s="8">
        <f t="shared" si="16"/>
        <v>535.2</v>
      </c>
      <c r="R103" s="7">
        <v>30.0</v>
      </c>
      <c r="S103" s="5">
        <f t="shared" si="17"/>
        <v>6</v>
      </c>
      <c r="T103" s="8">
        <f t="shared" si="18"/>
        <v>471.4</v>
      </c>
      <c r="U103" s="7">
        <v>50.0</v>
      </c>
      <c r="V103" s="5">
        <f t="shared" si="19"/>
        <v>5</v>
      </c>
      <c r="W103" s="8">
        <f t="shared" si="20"/>
        <v>376.2</v>
      </c>
    </row>
    <row r="104" ht="15.75" customHeight="1">
      <c r="A104" s="20"/>
      <c r="B104" s="20"/>
      <c r="C104" s="20"/>
      <c r="D104" s="20"/>
      <c r="E104" s="20"/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W$89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>
        <v>86.0</v>
      </c>
    </row>
    <row r="2">
      <c r="A2" s="1" t="s">
        <v>1</v>
      </c>
      <c r="B2" s="1">
        <v>86.0</v>
      </c>
    </row>
    <row r="3">
      <c r="A3" s="1" t="s">
        <v>2</v>
      </c>
      <c r="B3" s="1">
        <v>0.0</v>
      </c>
    </row>
    <row r="4">
      <c r="A4" s="1" t="s">
        <v>3</v>
      </c>
      <c r="B4" s="1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